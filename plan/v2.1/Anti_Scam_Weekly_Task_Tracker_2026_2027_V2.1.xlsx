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c08bf79f7442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4ef76e2b11f4ff1"/>
    <x:sheet xmlns:r="http://schemas.openxmlformats.org/officeDocument/2006/relationships" name="MVP Execution" sheetId="2" r:id="Re3892195591449f6"/>
    <x:sheet xmlns:r="http://schemas.openxmlformats.org/officeDocument/2006/relationships" name="MVP Coverage" sheetId="3" r:id="Rba14c989deee450e"/>
    <x:sheet xmlns:r="http://schemas.openxmlformats.org/officeDocument/2006/relationships" name="Weekly Calendar" sheetId="4" r:id="R4e707c8fc67e4cba"/>
    <x:sheet xmlns:r="http://schemas.openxmlformats.org/officeDocument/2006/relationships" name="Post-MVP Roadmap" sheetId="5" r:id="Re0e3181808a74d97"/>
    <x:sheet xmlns:r="http://schemas.openxmlformats.org/officeDocument/2006/relationships" name="Release Roadmap" sheetId="6" r:id="R976d54fcc1944715"/>
    <x:sheet xmlns:r="http://schemas.openxmlformats.org/officeDocument/2006/relationships" name="Progress Tracking" sheetId="7" r:id="R0c9f199c261c4eae"/>
    <x:sheet xmlns:r="http://schemas.openxmlformats.org/officeDocument/2006/relationships" name="WP Catalog" sheetId="8" r:id="Rd075f245e08f4b34"/>
    <x:sheet xmlns:r="http://schemas.openxmlformats.org/officeDocument/2006/relationships" name="Feature Progress" sheetId="9" r:id="R5c8fd4fd4cc34508"/>
    <x:sheet xmlns:r="http://schemas.openxmlformats.org/officeDocument/2006/relationships" name="WP Progress" sheetId="10" r:id="R731d44f129a74f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5A43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3D5E"/>
      </x:patternFill>
    </x:fill>
    <x:fill>
      <x:patternFill patternType="solid">
        <x:fgColor rgb="FF1F5A7A"/>
      </x:patternFill>
    </x:fill>
    <x:fill>
      <x:patternFill patternType="solid">
        <x:fgColor rgb="FFFFF4CC"/>
      </x:patternFill>
    </x:fill>
    <x:fill>
      <x:patternFill patternType="solid">
        <x:fgColor rgb="FF1F5A7A"/>
      </x:patternFill>
    </x:fill>
    <x:fill>
      <x:patternFill patternType="solid">
        <x:fgColor rgb="FF0F3D5E"/>
      </x:patternFill>
    </x:fill>
    <x:fill>
      <x:patternFill patternType="solid">
        <x:fgColor rgb="FFFFF4CC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20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DE2E2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f615b2a49f410b" /><Relationship Type="http://schemas.openxmlformats.org/officeDocument/2006/relationships/theme" Target="/xl/theme/theme1.xml" Id="R722469109d614f32" /><Relationship Type="http://schemas.openxmlformats.org/officeDocument/2006/relationships/sharedStrings" Target="/xl/sharedStrings.xml" Id="R7da96d21ebcb4f71" /><Relationship Type="http://schemas.openxmlformats.org/officeDocument/2006/relationships/worksheet" Target="/xl/worksheets/sheet1.xml" Id="R64ef76e2b11f4ff1" /><Relationship Type="http://schemas.openxmlformats.org/officeDocument/2006/relationships/worksheet" Target="/xl/worksheets/sheet2.xml" Id="Re3892195591449f6" /><Relationship Type="http://schemas.openxmlformats.org/officeDocument/2006/relationships/worksheet" Target="/xl/worksheets/sheet3.xml" Id="Rba14c989deee450e" /><Relationship Type="http://schemas.openxmlformats.org/officeDocument/2006/relationships/worksheet" Target="/xl/worksheets/sheet4.xml" Id="R4e707c8fc67e4cba" /><Relationship Type="http://schemas.openxmlformats.org/officeDocument/2006/relationships/worksheet" Target="/xl/worksheets/sheet5.xml" Id="Re0e3181808a74d97" /><Relationship Type="http://schemas.openxmlformats.org/officeDocument/2006/relationships/worksheet" Target="/xl/worksheets/sheet6.xml" Id="R976d54fcc1944715" /><Relationship Type="http://schemas.openxmlformats.org/officeDocument/2006/relationships/worksheet" Target="/xl/worksheets/sheet7.xml" Id="R0c9f199c261c4eae" /><Relationship Type="http://schemas.openxmlformats.org/officeDocument/2006/relationships/worksheet" Target="/xl/worksheets/sheet8.xml" Id="Rd075f245e08f4b34" /><Relationship Type="http://schemas.openxmlformats.org/officeDocument/2006/relationships/worksheet" Target="/xl/worksheets/sheet9.xml" Id="R5c8fd4fd4cc34508" /><Relationship Type="http://schemas.openxmlformats.org/officeDocument/2006/relationships/worksheet" Target="/xl/worksheets/sheet10.xml" Id="R731d44f129a74f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84439a85b54d2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1d1e116a0b2461b" /><Relationship Type="http://schemas.openxmlformats.org/officeDocument/2006/relationships/chart" Target="/xl/drawings/charts/chart3.xml" Id="R806b0c0ee8504d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Full Feature Completion by Owner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Features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Done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'Dashboard'!$F$4:$F$7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Completion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'Dashboard'!$G$4:$G$7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Strict Completion by Owner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'Progress Tracking'!$G$4:$G$7</c:f>
              <c:strCache>
                <c:ptCount val="0"/>
              </c:strCache>
            </c:strRef>
          </c:cat>
          <c:val>
            <c:numRef>
              <c:f>'Progress Tracking'!$H$4:$H$7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Done</c:v>
          </c:tx>
          <c:cat>
            <c:strRef>
              <c:f>'Progress Tracking'!$G$4:$G$7</c:f>
              <c:strCache>
                <c:ptCount val="0"/>
              </c:strCache>
            </c:strRef>
          </c:cat>
          <c:val>
            <c:numRef>
              <c:f>'Progress Tracking'!$I$4:$I$7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Completion</c:v>
          </c:tx>
          <c:cat>
            <c:strRef>
              <c:f>'Progress Tracking'!$G$4:$G$7</c:f>
              <c:strCache>
                <c:ptCount val="0"/>
              </c:strCache>
            </c:strRef>
          </c:cat>
          <c:val>
            <c:numRef>
              <c:f>'Progress Tracking'!$J$4:$J$7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Strict Completion by Priority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'Progress Tracking'!$A$15:$A$17</c:f>
              <c:strCache>
                <c:ptCount val="0"/>
              </c:strCache>
            </c:strRef>
          </c:cat>
          <c:val>
            <c:numRef>
              <c:f>'Progress Tracking'!$B$15:$B$17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Done</c:v>
          </c:tx>
          <c:cat>
            <c:strRef>
              <c:f>'Progress Tracking'!$A$15:$A$17</c:f>
              <c:strCache>
                <c:ptCount val="0"/>
              </c:strCache>
            </c:strRef>
          </c:cat>
          <c:val>
            <c:numRef>
              <c:f>'Progress Tracking'!$C$15:$C$17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Completion</c:v>
          </c:tx>
          <c:cat>
            <c:strRef>
              <c:f>'Progress Tracking'!$A$15:$A$17</c:f>
              <c:strCache>
                <c:ptCount val="0"/>
              </c:strCache>
            </c:strRef>
          </c:cat>
          <c:val>
            <c:numRef>
              <c:f>'Progress Tracking'!$D$15:$D$17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84439a85b54d2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d1e116a0b2461b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6b0c0ee8504d6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ac3906839b845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0e28d15fb20344e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4" max="4" width="14" hidden="0" customWidth="1"/>
    <x:col min="5" max="5" width="12" hidden="0" customWidth="1"/>
    <x:col min="6" max="6" width="12" hidden="0" customWidth="1"/>
    <x:col min="7" max="7" width="14" hidden="0" customWidth="1"/>
  </x:cols>
  <x:sheetData>
    <x:row r="1" ht="30" customHeight="1">
      <x:c r="A1" s="41" t="str">
        <x:v>Anti-Scam — Timeline &amp; Assignment Tracker V2.1</x:v>
      </x:c>
      <x:c r="B1" s="41"/>
      <x:c r="C1" s="41"/>
      <x:c r="D1" s="41"/>
      <x:c r="E1" s="41"/>
      <x:c r="F1" s="41"/>
      <x:c r="G1" s="41"/>
      <x:c r="H1" s="41"/>
    </x:row>
    <x:row r="3">
      <x:c r="A3" s="39" t="str">
        <x:v>Project KPI</x:v>
      </x:c>
      <x:c r="B3" s="39" t="str">
        <x:v>Value</x:v>
      </x:c>
      <x:c r="D3" s="39" t="str">
        <x:v>Owner</x:v>
      </x:c>
      <x:c r="E3" s="39" t="str">
        <x:v>Features</x:v>
      </x:c>
      <x:c r="F3" s="39" t="str">
        <x:v>Done</x:v>
      </x:c>
      <x:c r="G3" s="39" t="str">
        <x:v>Completion</x:v>
      </x:c>
    </x:row>
    <x:row r="4">
      <x:c r="A4" t="str">
        <x:v>Total features</x:v>
      </x:c>
      <x:c r="B4" t="n">
        <x:f>'Progress Tracking'!B4</x:f>
        <x:v>422</x:v>
      </x:c>
      <x:c r="D4" t="str">
        <x:f>'Progress Tracking'!G4</x:f>
        <x:v>Hùng</x:v>
      </x:c>
      <x:c r="E4" t="n">
        <x:f>'Progress Tracking'!H4</x:f>
        <x:v>103</x:v>
      </x:c>
      <x:c r="F4" t="n">
        <x:f>'Progress Tracking'!I4</x:f>
        <x:v>0</x:v>
      </x:c>
      <x:c r="G4" s="28" t="n">
        <x:f>'Progress Tracking'!J4</x:f>
        <x:v>0</x:v>
      </x:c>
    </x:row>
    <x:row r="5">
      <x:c r="A5" t="str">
        <x:v>Done features</x:v>
      </x:c>
      <x:c r="B5" s="20" t="n">
        <x:f>'Progress Tracking'!B5</x:f>
        <x:v>0</x:v>
      </x:c>
      <x:c r="D5" t="str">
        <x:f>'Progress Tracking'!G5</x:f>
        <x:v>Khải</x:v>
      </x:c>
      <x:c r="E5" t="n">
        <x:f>'Progress Tracking'!H5</x:f>
        <x:v>103</x:v>
      </x:c>
      <x:c r="F5" t="n">
        <x:f>'Progress Tracking'!I5</x:f>
        <x:v>0</x:v>
      </x:c>
      <x:c r="G5" s="28" t="n">
        <x:f>'Progress Tracking'!J5</x:f>
        <x:v>0</x:v>
      </x:c>
    </x:row>
    <x:row r="6">
      <x:c r="A6" t="str">
        <x:v>Overall completion</x:v>
      </x:c>
      <x:c r="B6" s="28" t="n">
        <x:f>'Progress Tracking'!B8</x:f>
        <x:v>0</x:v>
      </x:c>
      <x:c r="D6" t="str">
        <x:f>'Progress Tracking'!G6</x:f>
        <x:v>Kiên</x:v>
      </x:c>
      <x:c r="E6" t="n">
        <x:f>'Progress Tracking'!H6</x:f>
        <x:v>109</x:v>
      </x:c>
      <x:c r="F6" t="n">
        <x:f>'Progress Tracking'!I6</x:f>
        <x:v>0</x:v>
      </x:c>
      <x:c r="G6" s="28" t="n">
        <x:f>'Progress Tracking'!J6</x:f>
        <x:v>0</x:v>
      </x:c>
    </x:row>
    <x:row r="7">
      <x:c r="A7" t="str">
        <x:v>P0 completion</x:v>
      </x:c>
      <x:c r="B7" s="28" t="n">
        <x:f>'Progress Tracking'!D15</x:f>
        <x:v>0</x:v>
      </x:c>
      <x:c r="D7" t="str">
        <x:f>'Progress Tracking'!G7</x:f>
        <x:v>Thắng</x:v>
      </x:c>
      <x:c r="E7" t="n">
        <x:f>'Progress Tracking'!H7</x:f>
        <x:v>107</x:v>
      </x:c>
      <x:c r="F7" t="n">
        <x:f>'Progress Tracking'!I7</x:f>
        <x:v>0</x:v>
      </x:c>
      <x:c r="G7" s="28" t="n">
        <x:f>'Progress Tracking'!J7</x:f>
        <x:v>0</x:v>
      </x:c>
    </x:row>
    <x:row r="8">
      <x:c r="A8" t="str">
        <x:v>MVP task completion</x:v>
      </x:c>
      <x:c r="B8" s="28" t="n">
        <x:f>'Progress Tracking'!E6</x:f>
        <x:v>0</x:v>
      </x:c>
    </x:row>
    <x:row r="9">
      <x:c r="A9" t="str">
        <x:v>Feature freeze</x:v>
      </x:c>
      <x:c r="B9" s="20" t="n">
        <x:v>46321</x:v>
      </x:c>
    </x:row>
    <x:row r="10">
      <x:c r="A10" t="str">
        <x:v>MVP release</x:v>
      </x:c>
      <x:c r="B10" s="20" t="n">
        <x:v>46325</x:v>
      </x:c>
    </x:row>
    <x:row r="11">
      <x:c r="A11" s="24" t="str">
        <x:v>Public Beta</x:v>
      </x:c>
      <x:c r="B11" s="49" t="n">
        <x:v>46409</x:v>
      </x:c>
      <x:c r="C11" s="24"/>
      <x:c r="D11" s="24"/>
      <x:c r="E11" s="24"/>
      <x:c r="F11" s="24"/>
      <x:c r="G11" s="24"/>
      <x:c r="H11" s="24"/>
    </x:row>
    <x:row r="13" ht="42" customHeight="1">
      <x:c r="A13" s="47" t="str">
        <x:v>Main KPI = strict feature completion (Done / 422). MVP execution is tracked separately so delivery deadline and full-project progress do not get mixed.</x:v>
      </x:c>
      <x:c r="B13" s="47"/>
      <x:c r="C13" s="47"/>
      <x:c r="D13" s="47"/>
      <x:c r="E13" s="47"/>
      <x:c r="F13" s="47"/>
      <x:c r="G13" s="47"/>
      <x:c r="H13" s="47"/>
    </x:row>
  </x:sheetData>
  <x:mergeCells>
    <x:mergeCell ref="A1:H1"/>
    <x:mergeCell ref="A11:H11"/>
    <x:mergeCell ref="A13:H13"/>
  </x:mergeCells>
  <x:pageMargins left="0.7" right="0.7" top="0.75" bottom="0.75" header="0.3" footer="0.3"/>
  <x:drawing xmlns:r="http://schemas.openxmlformats.org/officeDocument/2006/relationships" r:id="R3ac3906839b845a1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13" hidden="0" customWidth="1"/>
    <x:col min="4" max="4" width="12" hidden="0" customWidth="1"/>
    <x:col min="5" max="5" width="13" hidden="0" customWidth="1"/>
    <x:col min="6" max="6" width="34" hidden="0" customWidth="1"/>
    <x:col min="7" max="7" width="34" hidden="0" customWidth="1"/>
    <x:col min="8" max="8" width="11" hidden="0" customWidth="1"/>
    <x:col min="9" max="9" width="30" hidden="0" customWidth="1"/>
    <x:col min="10" max="10" width="48" hidden="0" customWidth="1"/>
    <x:col min="11" max="11" width="48" hidden="0" customWidth="1"/>
    <x:col min="12" max="12" width="9" hidden="0" customWidth="1"/>
    <x:col min="13" max="13" width="14" hidden="0" customWidth="1"/>
    <x:col min="14" max="14" width="11" hidden="0" customWidth="1"/>
    <x:col min="15" max="15" width="30" hidden="0" customWidth="1"/>
    <x:col min="16" max="16" width="30" hidden="0" customWidth="1"/>
  </x:cols>
  <x:sheetData>
    <x:row r="1">
      <x:c r="A1" s="14" t="str">
        <x:v>Cycle</x:v>
      </x:c>
      <x:c r="B1" s="14" t="str">
        <x:v>Start</x:v>
      </x:c>
      <x:c r="C1" s="14" t="str">
        <x:v>End</x:v>
      </x:c>
      <x:c r="D1" s="14" t="str">
        <x:v>Owner</x:v>
      </x:c>
      <x:c r="E1" s="14" t="str">
        <x:v>Task ID</x:v>
      </x:c>
      <x:c r="F1" s="14" t="str">
        <x:v>Title</x:v>
      </x:c>
      <x:c r="G1" s="14" t="str">
        <x:v>Source WP</x:v>
      </x:c>
      <x:c r="H1" s="14" t="str">
        <x:v>MVP Points</x:v>
      </x:c>
      <x:c r="I1" s="14" t="str">
        <x:v>Depends On</x:v>
      </x:c>
      <x:c r="J1" s="14" t="str">
        <x:v>MVP Basic Scope</x:v>
      </x:c>
      <x:c r="K1" s="14" t="str">
        <x:v>Evidence / Done When</x:v>
      </x:c>
      <x:c r="L1" s="14" t="str">
        <x:v>Done</x:v>
      </x:c>
      <x:c r="M1" s="14" t="str">
        <x:v>Status</x:v>
      </x:c>
      <x:c r="N1" s="14" t="str">
        <x:v>Progress %</x:v>
      </x:c>
      <x:c r="O1" s="14" t="str">
        <x:v>Evidence / PR</x:v>
      </x:c>
      <x:c r="P1" s="14" t="str">
        <x:v>Blocker / Note</x:v>
      </x:c>
    </x:row>
    <x:row r="2">
      <x:c r="A2" t="str">
        <x:v>W09</x:v>
      </x:c>
      <x:c r="B2" s="20" t="n">
        <x:v>46292</x:v>
      </x:c>
      <x:c r="C2" s="20" t="n">
        <x:v>46300</x:v>
      </x:c>
      <x:c r="D2" t="str">
        <x:v>Hùng</x:v>
      </x:c>
      <x:c r="E2" t="str">
        <x:v>H-MVP01</x:v>
      </x:c>
      <x:c r="F2" t="str">
        <x:v>Identity Foundation + Shared Delivery/Audit Contracts</x:v>
      </x:c>
      <x:c r="G2" t="str">
        <x:v>H-WP01 + H-WP10(contract) + H-WP16(contract)</x:v>
      </x:c>
      <x:c r="H2" t="n">
        <x:v>14</x:v>
      </x:c>
      <x:c r="I2" t="str">
        <x:v>TEAM-C01 contract freeze</x:v>
      </x:c>
      <x:c r="J2" t="str">
        <x:v>Local registration; canonical email/password hash; email-verification challenge; freeze NotificationPort/AuditPort contracts so other modules can use mocks.</x:v>
      </x:c>
      <x:c r="K2" t="str">
        <x:v>Register/verify tests green; contract fixtures merged; no downstream module waits for notification/audit implementation.</x:v>
      </x:c>
      <x:c r="L2" t="str">
        <x:v>☐</x:v>
      </x:c>
      <x:c r="M2" t="str">
        <x:v>Chưa bắt đầu</x:v>
      </x:c>
      <x:c r="N2" s="28" t="n">
        <x:f>IF(L2="☑",1,IF(M2="Done",1,IF(M2="Đang làm",0.5,IF(M2="Blocked",0.25,0))))</x:f>
        <x:v>0</x:v>
      </x:c>
      <x:c r="O2" t="str"/>
      <x:c r="P2" t="str"/>
    </x:row>
    <x:row r="3">
      <x:c r="A3" t="str">
        <x:v>W09</x:v>
      </x:c>
      <x:c r="B3" s="20" t="n">
        <x:v>46292</x:v>
      </x:c>
      <x:c r="C3" s="20" t="n">
        <x:v>46300</x:v>
      </x:c>
      <x:c r="D3" t="str">
        <x:v>Khải</x:v>
      </x:c>
      <x:c r="E3" t="str">
        <x:v>K-MVP01</x:v>
      </x:c>
      <x:c r="F3" t="str">
        <x:v>Secrets + CI + URL Worker Contract</x:v>
      </x:c>
      <x:c r="G3" t="str">
        <x:v>K-WP09 + K-WP11 + K-WP08</x:v>
      </x:c>
      <x:c r="H3" t="n">
        <x:v>15</x:v>
      </x:c>
      <x:c r="I3" t="str">
        <x:v>TEAM-C01 contract freeze</x:v>
      </x:c>
      <x:c r="J3" t="str">
        <x:v>Secret/env baseline; required PR CI; URL WorkerResult/DerivedIndicator/pendingAiTasks and reputation boundary.</x:v>
      </x:c>
      <x:c r="K3" t="str">
        <x:v>Red PR is blocked; main CI green; secret scan clean; URL producer/consumer contract fixture passes.</x:v>
      </x:c>
      <x:c r="L3" t="str">
        <x:v>☐</x:v>
      </x:c>
      <x:c r="M3" t="str">
        <x:v>Chưa bắt đầu</x:v>
      </x:c>
      <x:c r="N3" s="28" t="n">
        <x:f>IF(L3="☑",1,IF(M3="Done",1,IF(M3="Đang làm",0.5,IF(M3="Blocked",0.25,0))))</x:f>
        <x:v>0</x:v>
      </x:c>
      <x:c r="O3" t="str"/>
      <x:c r="P3" t="str"/>
    </x:row>
    <x:row r="4">
      <x:c r="A4" t="str">
        <x:v>W09</x:v>
      </x:c>
      <x:c r="B4" s="20" t="n">
        <x:v>46292</x:v>
      </x:c>
      <x:c r="C4" s="20" t="n">
        <x:v>46300</x:v>
      </x:c>
      <x:c r="D4" t="str">
        <x:v>Kiên</x:v>
      </x:c>
      <x:c r="E4" t="str">
        <x:v>I-MVP01</x:v>
      </x:c>
      <x:c r="F4" t="str">
        <x:v>Scan / Entity / Risk Contracts + Rule Repository Baseline</x:v>
      </x:c>
      <x:c r="G4" t="str">
        <x:v>I-WP11 + I-WP17 + I-WP07(basic)</x:v>
      </x:c>
      <x:c r="H4" t="n">
        <x:v>14</x:v>
      </x:c>
      <x:c r="I4" t="str">
        <x:v>TEAM-C01 contract freeze</x:v>
      </x:c>
      <x:c r="J4" t="str">
        <x:v>AccessContext + scan dispatch contract; unified PHONE/BANK entity contract and NO_DATA; RiskEvaluationPort/ThreatQuery seams; minimal rule repository schema/seed.</x:v>
      </x:c>
      <x:c r="K4" t="str">
        <x:v>Contract tests pass for URL/TEXT/ENTITY/QR; rules can be seeded/read; fake bus accepts dispatch.</x:v>
      </x:c>
      <x:c r="L4" t="str">
        <x:v>☐</x:v>
      </x:c>
      <x:c r="M4" t="str">
        <x:v>Chưa bắt đầu</x:v>
      </x:c>
      <x:c r="N4" s="28" t="n">
        <x:f>IF(L4="☑",1,IF(M4="Done",1,IF(M4="Đang làm",0.5,IF(M4="Blocked",0.25,0))))</x:f>
        <x:v>0</x:v>
      </x:c>
      <x:c r="O4" t="str"/>
      <x:c r="P4" t="str"/>
    </x:row>
    <x:row r="5">
      <x:c r="A5" t="str">
        <x:v>W09</x:v>
      </x:c>
      <x:c r="B5" s="20" t="n">
        <x:v>46292</x:v>
      </x:c>
      <x:c r="C5" s="20" t="n">
        <x:v>46300</x:v>
      </x:c>
      <x:c r="D5" t="str">
        <x:v>Thắng</x:v>
      </x:c>
      <x:c r="E5" t="str">
        <x:v>T-MVP01</x:v>
      </x:c>
      <x:c r="F5" t="str">
        <x:v>Text Normalization + Worker / Result Contracts</x:v>
      </x:c>
      <x:c r="G5" t="str">
        <x:v>T-WP01 + T-WP07 + T-WP12(contract)</x:v>
      </x:c>
      <x:c r="H5" t="n">
        <x:v>14</x:v>
      </x:c>
      <x:c r="I5" t="str">
        <x:v>TEAM-C01 contract freeze</x:v>
      </x:c>
      <x:c r="J5" t="str">
        <x:v>Vietnamese normalization/evasion handling; Text WorkerResult + DerivedIndicator + pendingAiTasks; shared RiskResult presentation contract.</x:v>
      </x:c>
      <x:c r="K5" t="str">
        <x:v>Normalization fixtures pass; text worker contract fixtures pass; UI renders mocked RiskResult.</x:v>
      </x:c>
      <x:c r="L5" t="str">
        <x:v>☐</x:v>
      </x:c>
      <x:c r="M5" t="str">
        <x:v>Chưa bắt đầu</x:v>
      </x:c>
      <x:c r="N5" s="28" t="n">
        <x:f>IF(L5="☑",1,IF(M5="Done",1,IF(M5="Đang làm",0.5,IF(M5="Blocked",0.25,0))))</x:f>
        <x:v>0</x:v>
      </x:c>
      <x:c r="O5" t="str"/>
      <x:c r="P5" t="str"/>
    </x:row>
    <x:row r="6">
      <x:c r="A6" t="str">
        <x:v>W10</x:v>
      </x:c>
      <x:c r="B6" s="20" t="n">
        <x:v>46301</x:v>
      </x:c>
      <x:c r="C6" s="20" t="n">
        <x:v>46307</x:v>
      </x:c>
      <x:c r="D6" t="str">
        <x:v>Hùng</x:v>
      </x:c>
      <x:c r="E6" t="str">
        <x:v>H-MVP02</x:v>
      </x:c>
      <x:c r="F6" t="str">
        <x:v>Session, Guest, RBAC, Basic Profile &amp; Quota</x:v>
      </x:c>
      <x:c r="G6" t="str">
        <x:v>H-WP03 + H-WP02(basic) + H-WP04(basic) + H-WP05(basic) + H-WP07(basic)</x:v>
      </x:c>
      <x:c r="H6" t="n">
        <x:v>15</x:v>
      </x:c>
      <x:c r="I6" t="str">
        <x:v>H-MVP01</x:v>
      </x:c>
      <x:c r="J6" t="str">
        <x:v>Login; auth_session; JWT access + rotating refresh; logout/revoke; Guest AccessContext; USER/MODERATOR/ADMIN guards; basic GET/PATCH profile; guest/user quota baseline.</x:v>
      </x:c>
      <x:c r="K6" t="str">
        <x:v>Register→verify→login→refresh→logout E2E; guest scan context works; USER blocked from admin route; profile read/update smoke pass.</x:v>
      </x:c>
      <x:c r="L6" t="str">
        <x:v>☐</x:v>
      </x:c>
      <x:c r="M6" t="str">
        <x:v>Chưa bắt đầu</x:v>
      </x:c>
      <x:c r="N6" s="28" t="n">
        <x:f>IF(L6="☑",1,IF(M6="Done",1,IF(M6="Đang làm",0.5,IF(M6="Blocked",0.25,0))))</x:f>
        <x:v>0</x:v>
      </x:c>
      <x:c r="O6" t="str"/>
      <x:c r="P6" t="str"/>
    </x:row>
    <x:row r="7">
      <x:c r="A7" t="str">
        <x:v>W10</x:v>
      </x:c>
      <x:c r="B7" s="20" t="n">
        <x:v>46301</x:v>
      </x:c>
      <x:c r="C7" s="20" t="n">
        <x:v>46307</x:v>
      </x:c>
      <x:c r="D7" t="str">
        <x:v>Khải</x:v>
      </x:c>
      <x:c r="E7" t="str">
        <x:v>K-MVP02</x:v>
      </x:c>
      <x:c r="F7" t="str">
        <x:v>Platform Runtime + URL Basic Vertical Slice</x:v>
      </x:c>
      <x:c r="G7" t="str">
        <x:v>K-WP10 + K-WP01</x:v>
      </x:c>
      <x:c r="H7" t="n">
        <x:v>16</x:v>
      </x:c>
      <x:c r="I7" t="str">
        <x:v>K-MVP01 + I-MVP01 contracts</x:v>
      </x:c>
      <x:c r="J7" t="str">
        <x:v>Local/runtime topology + readiness; POST URL scan; normalize/hash/cache/basic lexical signals through frozen worker contract.</x:v>
      </x:c>
      <x:c r="K7" t="str">
        <x:v>docker compose up; readiness green; URL submit→worker result fixture→RiskResult path passes.</x:v>
      </x:c>
      <x:c r="L7" t="str">
        <x:v>☐</x:v>
      </x:c>
      <x:c r="M7" t="str">
        <x:v>Chưa bắt đầu</x:v>
      </x:c>
      <x:c r="N7" s="28" t="n">
        <x:f>IF(L7="☑",1,IF(M7="Done",1,IF(M7="Đang làm",0.5,IF(M7="Blocked",0.25,0))))</x:f>
        <x:v>0</x:v>
      </x:c>
      <x:c r="O7" t="str"/>
      <x:c r="P7" t="str"/>
    </x:row>
    <x:row r="8">
      <x:c r="A8" t="str">
        <x:v>W10</x:v>
      </x:c>
      <x:c r="B8" s="20" t="n">
        <x:v>46301</x:v>
      </x:c>
      <x:c r="C8" s="20" t="n">
        <x:v>46307</x:v>
      </x:c>
      <x:c r="D8" t="str">
        <x:v>Kiên</x:v>
      </x:c>
      <x:c r="E8" t="str">
        <x:v>I-MVP02</x:v>
      </x:c>
      <x:c r="F8" t="str">
        <x:v>Scan Lifecycle + Risk Entity Registry + Risk Core</x:v>
      </x:c>
      <x:c r="G8" t="str">
        <x:v>I-WP12 + I-WP03(basic) + I-WP05 + I-WP06(basic)</x:v>
      </x:c>
      <x:c r="H8" t="n">
        <x:v>17</x:v>
      </x:c>
      <x:c r="I8" t="str">
        <x:v>I-MVP01</x:v>
      </x:c>
      <x:c r="J8" t="str">
        <x:v>PENDING→PROCESSING→terminal; event envelope/dedupe/retry; risk entity registry; deterministic rule evaluation, fusion thresholds and Result Composer.</x:v>
      </x:c>
      <x:c r="K8" t="str">
        <x:v>Duplicate event safe; retry/DLQ pass; seeded signals deterministically produce score/level/evidence/recommendation.</x:v>
      </x:c>
      <x:c r="L8" t="str">
        <x:v>☐</x:v>
      </x:c>
      <x:c r="M8" t="str">
        <x:v>Chưa bắt đầu</x:v>
      </x:c>
      <x:c r="N8" s="28" t="n">
        <x:f>IF(L8="☑",1,IF(M8="Done",1,IF(M8="Đang làm",0.5,IF(M8="Blocked",0.25,0))))</x:f>
        <x:v>0</x:v>
      </x:c>
      <x:c r="O8" t="str"/>
      <x:c r="P8" t="str"/>
    </x:row>
    <x:row r="9">
      <x:c r="A9" t="str">
        <x:v>W10</x:v>
      </x:c>
      <x:c r="B9" s="20" t="n">
        <x:v>46301</x:v>
      </x:c>
      <x:c r="C9" s="20" t="n">
        <x:v>46307</x:v>
      </x:c>
      <x:c r="D9" t="str">
        <x:v>Thắng</x:v>
      </x:c>
      <x:c r="E9" t="str">
        <x:v>T-MVP02</x:v>
      </x:c>
      <x:c r="F9" t="str">
        <x:v>Async Text Scan + Result / History / Basic Export</x:v>
      </x:c>
      <x:c r="G9" t="str">
        <x:v>T-WP02 + T-WP10(basic) + T-WP12 + T-WP14(basic)</x:v>
      </x:c>
      <x:c r="H9" t="n">
        <x:v>16</x:v>
      </x:c>
      <x:c r="I9" t="str">
        <x:v>T-MVP01 + I-MVP01 RiskResult contract</x:v>
      </x:c>
      <x:c r="J9" t="str">
        <x:v>POST text scan async; basic scam patterns; result page; owner history list/detail; one minimal export/download representation for demo.</x:v>
      </x:c>
      <x:c r="K9" t="str">
        <x:v>Text submit→processing→result; result shows score/evidence/recommendation; history works; one export/download smoke passes.</x:v>
      </x:c>
      <x:c r="L9" t="str">
        <x:v>☐</x:v>
      </x:c>
      <x:c r="M9" t="str">
        <x:v>Chưa bắt đầu</x:v>
      </x:c>
      <x:c r="N9" s="28" t="n">
        <x:f>IF(L9="☑",1,IF(M9="Done",1,IF(M9="Đang làm",0.5,IF(M9="Blocked",0.25,0))))</x:f>
        <x:v>0</x:v>
      </x:c>
      <x:c r="O9" t="str"/>
      <x:c r="P9" t="str"/>
    </x:row>
    <x:row r="10">
      <x:c r="A10" t="str">
        <x:v>W11</x:v>
      </x:c>
      <x:c r="B10" s="20" t="n">
        <x:v>46308</x:v>
      </x:c>
      <x:c r="C10" s="20" t="n">
        <x:v>46314</x:v>
      </x:c>
      <x:c r="D10" t="str">
        <x:v>Hùng</x:v>
      </x:c>
      <x:c r="E10" t="str">
        <x:v>H-MVP03</x:v>
      </x:c>
      <x:c r="F10" t="str">
        <x:v>Community Report Submission + Minimal Notification</x:v>
      </x:c>
      <x:c r="G10" t="str">
        <x:v>H-WP12(basic) + H-WP10 + H-WP11(basic)</x:v>
      </x:c>
      <x:c r="H10" t="n">
        <x:v>15</x:v>
      </x:c>
      <x:c r="I10" t="str">
        <x:v>H-MVP02 + I-MVP01 entity contract</x:v>
      </x:c>
      <x:c r="J10" t="str">
        <x:v>User report submission with evidence; minimal NotificationPort routing/delivery for verification/report/security events; secret-safe provider config.</x:v>
      </x:c>
      <x:c r="K10" t="str">
        <x:v>Report is created with evidence; at least one real/minimal notification channel delivers; mocked channel fallback remains available.</x:v>
      </x:c>
      <x:c r="L10" t="str">
        <x:v>☐</x:v>
      </x:c>
      <x:c r="M10" t="str">
        <x:v>Chưa bắt đầu</x:v>
      </x:c>
      <x:c r="N10" s="28" t="n">
        <x:f>IF(L10="☑",1,IF(M10="Done",1,IF(M10="Đang làm",0.5,IF(M10="Blocked",0.25,0))))</x:f>
        <x:v>0</x:v>
      </x:c>
      <x:c r="O10" t="str"/>
      <x:c r="P10" t="str"/>
    </x:row>
    <x:row r="11">
      <x:c r="A11" t="str">
        <x:v>W11</x:v>
      </x:c>
      <x:c r="B11" s="20" t="n">
        <x:v>46308</x:v>
      </x:c>
      <x:c r="C11" s="20" t="n">
        <x:v>46314</x:v>
      </x:c>
      <x:c r="D11" t="str">
        <x:v>Khải</x:v>
      </x:c>
      <x:c r="E11" t="str">
        <x:v>K-MVP03</x:v>
      </x:c>
      <x:c r="F11" t="str">
        <x:v>SSRF Guard + CD + Redirect Baseline</x:v>
      </x:c>
      <x:c r="G11" t="str">
        <x:v>K-WP02 + K-WP12 + K-WP03(basic)</x:v>
      </x:c>
      <x:c r="H11" t="n">
        <x:v>15</x:v>
      </x:c>
      <x:c r="I11" t="str">
        <x:v>K-MVP02 + K-MVP01 CI</x:v>
      </x:c>
      <x:c r="J11" t="str">
        <x:v>DNS/IP SSRF protection; redirect IP re-check; redirect-chain baseline; build/push image; DB migration; reproducible staging/VPS deploy; health/smoke.</x:v>
      </x:c>
      <x:c r="K11" t="str">
        <x:v>SSRF attack fixtures blocked; deploy from version/tag succeeds; migration + health/readiness + smoke pass.</x:v>
      </x:c>
      <x:c r="L11" t="str">
        <x:v>☐</x:v>
      </x:c>
      <x:c r="M11" t="str">
        <x:v>Chưa bắt đầu</x:v>
      </x:c>
      <x:c r="N11" s="28" t="n">
        <x:f>IF(L11="☑",1,IF(M11="Done",1,IF(M11="Đang làm",0.5,IF(M11="Blocked",0.25,0))))</x:f>
        <x:v>0</x:v>
      </x:c>
      <x:c r="O11" t="str"/>
      <x:c r="P11" t="str"/>
    </x:row>
    <x:row r="12">
      <x:c r="A12" t="str">
        <x:v>W11</x:v>
      </x:c>
      <x:c r="B12" s="20" t="n">
        <x:v>46308</x:v>
      </x:c>
      <x:c r="C12" s="20" t="n">
        <x:v>46314</x:v>
      </x:c>
      <x:c r="D12" t="str">
        <x:v>Kiên</x:v>
      </x:c>
      <x:c r="E12" t="str">
        <x:v>I-MVP03</x:v>
      </x:c>
      <x:c r="F12" t="str">
        <x:v>ThreatQuery + Phone / Bank + Threat Intel Basic</x:v>
      </x:c>
      <x:c r="G12" t="str">
        <x:v>I-WP04 + I-WP15(basic) + I-WP16(basic) + I-WP01/I-WP02(basic)</x:v>
      </x:c>
      <x:c r="H12" t="n">
        <x:v>15</x:v>
      </x:c>
      <x:c r="I12" t="str">
        <x:v>I-MVP02 registry + I-MVP01 entity contract</x:v>
      </x:c>
      <x:c r="J12" t="str">
        <x:v>Core-only ThreatQuery/cache; PHONE/BANK normalize + reputation/NO_DATA; basic seed/import or admin list for threat/blacklist data.</x:v>
      </x:c>
      <x:c r="K12" t="str">
        <x:v>PHONE/BANK/NO_DATA fixtures pass; no worker direct DB/Redis/core call; seeded threat entity affects final RiskResult.</x:v>
      </x:c>
      <x:c r="L12" t="str">
        <x:v>☐</x:v>
      </x:c>
      <x:c r="M12" t="str">
        <x:v>Chưa bắt đầu</x:v>
      </x:c>
      <x:c r="N12" s="28" t="n">
        <x:f>IF(L12="☑",1,IF(M12="Done",1,IF(M12="Đang làm",0.5,IF(M12="Blocked",0.25,0))))</x:f>
        <x:v>0</x:v>
      </x:c>
      <x:c r="O12" t="str"/>
      <x:c r="P12" t="str"/>
    </x:row>
    <x:row r="13">
      <x:c r="A13" t="str">
        <x:v>W11</x:v>
      </x:c>
      <x:c r="B13" s="20" t="n">
        <x:v>46308</x:v>
      </x:c>
      <x:c r="C13" s="20" t="n">
        <x:v>46314</x:v>
      </x:c>
      <x:c r="D13" t="str">
        <x:v>Thắng</x:v>
      </x:c>
      <x:c r="E13" t="str">
        <x:v>T-MVP03</x:v>
      </x:c>
      <x:c r="F13" t="str">
        <x:v>Entity Extraction + QR / VietQR Basic</x:v>
      </x:c>
      <x:c r="G13" t="str">
        <x:v>T-WP03 + T-WP08(decode/classify basic)</x:v>
      </x:c>
      <x:c r="H13" t="n">
        <x:v>15</x:v>
      </x:c>
      <x:c r="I13" t="str">
        <x:v>T-MVP02 + I-MVP01 entity contract</x:v>
      </x:c>
      <x:c r="J13" t="str">
        <x:v>Extract URL/phone/bank from text; QR image/payload decode; classify URL/VietQR/text; parse VietQR and emit DerivedIndicator/child-scan intent.</x:v>
      </x:c>
      <x:c r="K13" t="str">
        <x:v>URL/phone/bank extraction fixtures pass; QR URL/VietQR/text fixtures pass; nested intent contract emitted.</x:v>
      </x:c>
      <x:c r="L13" t="str">
        <x:v>☐</x:v>
      </x:c>
      <x:c r="M13" t="str">
        <x:v>Chưa bắt đầu</x:v>
      </x:c>
      <x:c r="N13" s="28" t="n">
        <x:f>IF(L13="☑",1,IF(M13="Done",1,IF(M13="Đang làm",0.5,IF(M13="Blocked",0.25,0))))</x:f>
        <x:v>0</x:v>
      </x:c>
      <x:c r="O13" t="str"/>
      <x:c r="P13" t="str"/>
    </x:row>
    <x:row r="14">
      <x:c r="A14" t="str">
        <x:v>W12</x:v>
      </x:c>
      <x:c r="B14" s="20" t="n">
        <x:v>46315</x:v>
      </x:c>
      <x:c r="C14" s="20" t="n">
        <x:v>46321</x:v>
      </x:c>
      <x:c r="D14" t="str">
        <x:v>Hùng</x:v>
      </x:c>
      <x:c r="E14" t="str">
        <x:v>H-MVP04</x:v>
      </x:c>
      <x:c r="F14" t="str">
        <x:v>Moderation + Verified Report Bridge + Audit + Google Login</x:v>
      </x:c>
      <x:c r="G14" t="str">
        <x:v>H-WP13(basic) + H-WP15 + H-WP16 + H-WP17(basic) + H-WP02(Google basic)</x:v>
      </x:c>
      <x:c r="H14" t="n">
        <x:v>16</x:v>
      </x:c>
      <x:c r="I14" t="str">
        <x:v>H-MVP03 + H-MVP02 + I-MVP03 ThreatQuery</x:v>
      </x:c>
      <x:c r="J14" t="str">
        <x:v>Moderator queue approve/reject; approved report creates/updates reputation signal; audit capture/correlation; Google OIDC basic login/link.</x:v>
      </x:c>
      <x:c r="K14" t="str">
        <x:v>Report→moderation→reputation signal flow passes; Google login works; auth/report/moderation/scan audit trace queryable by correlation id.</x:v>
      </x:c>
      <x:c r="L14" t="str">
        <x:v>☐</x:v>
      </x:c>
      <x:c r="M14" t="str">
        <x:v>Chưa bắt đầu</x:v>
      </x:c>
      <x:c r="N14" s="28" t="n">
        <x:f>IF(L14="☑",1,IF(M14="Done",1,IF(M14="Đang làm",0.5,IF(M14="Blocked",0.25,0))))</x:f>
        <x:v>0</x:v>
      </x:c>
      <x:c r="O14" t="str"/>
      <x:c r="P14" t="str"/>
    </x:row>
    <x:row r="15">
      <x:c r="A15" t="str">
        <x:v>W12</x:v>
      </x:c>
      <x:c r="B15" s="20" t="n">
        <x:v>46315</x:v>
      </x:c>
      <x:c r="C15" s="20" t="n">
        <x:v>46321</x:v>
      </x:c>
      <x:c r="D15" t="str">
        <x:v>Khải</x:v>
      </x:c>
      <x:c r="E15" t="str">
        <x:v>K-MVP04</x:v>
      </x:c>
      <x:c r="F15" t="str">
        <x:v>URL Web-Depth Baseline + Demo Entry UX</x:v>
      </x:c>
      <x:c r="G15" t="str">
        <x:v>K-WP04(basic) + K-WP05(basic) + K-WP14(basic)</x:v>
      </x:c>
      <x:c r="H15" t="n">
        <x:v>14</x:v>
      </x:c>
      <x:c r="I15" t="str">
        <x:v>K-MVP03</x:v>
      </x:c>
      <x:c r="J15" t="str">
        <x:v>HTTPS/TLS/certificate/header baseline; HTML/form sensitive-input signals; responsive/basic a11y/i18n entry surfaces sufficient for demo.</x:v>
      </x:c>
      <x:c r="K15" t="str">
        <x:v>URL demo exposes TLS/header + HTML/form signals; keyboard/mobile-width smoke passes; Vietnamese UI baseline works.</x:v>
      </x:c>
      <x:c r="L15" t="str">
        <x:v>☐</x:v>
      </x:c>
      <x:c r="M15" t="str">
        <x:v>Chưa bắt đầu</x:v>
      </x:c>
      <x:c r="N15" s="28" t="n">
        <x:f>IF(L15="☑",1,IF(M15="Done",1,IF(M15="Đang làm",0.5,IF(M15="Blocked",0.25,0))))</x:f>
        <x:v>0</x:v>
      </x:c>
      <x:c r="O15" t="str"/>
      <x:c r="P15" t="str"/>
    </x:row>
    <x:row r="16">
      <x:c r="A16" t="str">
        <x:v>W12</x:v>
      </x:c>
      <x:c r="B16" s="20" t="n">
        <x:v>46315</x:v>
      </x:c>
      <x:c r="C16" s="20" t="n">
        <x:v>46321</x:v>
      </x:c>
      <x:c r="D16" t="str">
        <x:v>Kiên</x:v>
      </x:c>
      <x:c r="E16" t="str">
        <x:v>I-MVP04</x:v>
      </x:c>
      <x:c r="F16" t="str">
        <x:v>Nested Scan + AI Barrier + Final Orchestration</x:v>
      </x:c>
      <x:c r="G16" t="str">
        <x:v>I-WP13 + I-WP14</x:v>
      </x:c>
      <x:c r="H16" t="n">
        <x:v>14</x:v>
      </x:c>
      <x:c r="I16" t="str">
        <x:v>I-MVP02 + T-MVP03 nested contract + T-MVP04 AI contract</x:v>
      </x:c>
      <x:c r="J16" t="str">
        <x:v>Child scan creation/depth/cycle protection; AI task wait/deadline/fallback; parent finalization with degraded semantics and race handling.</x:v>
      </x:c>
      <x:c r="K16" t="str">
        <x:v>QR→child URL/entity end-to-end; AI success/fail/timeout fixtures pass; parent closes only after barrier/deadline.</x:v>
      </x:c>
      <x:c r="L16" t="str">
        <x:v>☐</x:v>
      </x:c>
      <x:c r="M16" t="str">
        <x:v>Chưa bắt đầu</x:v>
      </x:c>
      <x:c r="N16" s="28" t="n">
        <x:f>IF(L16="☑",1,IF(M16="Done",1,IF(M16="Đang làm",0.5,IF(M16="Blocked",0.25,0))))</x:f>
        <x:v>0</x:v>
      </x:c>
      <x:c r="O16" t="str"/>
      <x:c r="P16" t="str"/>
    </x:row>
    <x:row r="17">
      <x:c r="A17" t="str">
        <x:v>W12</x:v>
      </x:c>
      <x:c r="B17" s="20" t="n">
        <x:v>46315</x:v>
      </x:c>
      <x:c r="C17" s="20" t="n">
        <x:v>46321</x:v>
      </x:c>
      <x:c r="D17" t="str">
        <x:v>Thắng</x:v>
      </x:c>
      <x:c r="E17" t="str">
        <x:v>T-MVP04</x:v>
      </x:c>
      <x:c r="F17" t="str">
        <x:v>AI Worker + One Provider + QR Nested Integration</x:v>
      </x:c>
      <x:c r="G17" t="str">
        <x:v>T-WP15(basic) + T-WP16(basic) + T-WP08(nested integration)</x:v>
      </x:c>
      <x:c r="H17" t="n">
        <x:v>15</x:v>
      </x:c>
      <x:c r="I17" t="str">
        <x:v>T-MVP01 AI contract + K-MVP02 runtime/bus + I-MVP02 scan core</x:v>
      </x:c>
      <x:c r="J17" t="str">
        <x:v>q.ai.analyze worker; one provider adapter or deterministic local stub; schema-valid AiResult; timeout/failure fallback; wire QR child intent to orchestrator.</x:v>
      </x:c>
      <x:c r="K17" t="str">
        <x:v>AI success + failure cases pass; no direct DB/core call from AI worker; QR nested demo reaches final result.</x:v>
      </x:c>
      <x:c r="L17" t="str">
        <x:v>☐</x:v>
      </x:c>
      <x:c r="M17" t="str">
        <x:v>Chưa bắt đầu</x:v>
      </x:c>
      <x:c r="N17" s="28" t="n">
        <x:f>IF(L17="☑",1,IF(M17="Done",1,IF(M17="Đang làm",0.5,IF(M17="Blocked",0.25,0))))</x:f>
        <x:v>0</x:v>
      </x:c>
      <x:c r="O17" t="str"/>
      <x:c r="P17" t="str"/>
    </x:row>
    <x:row r="18">
      <x:c r="A18" t="str">
        <x:v>W13</x:v>
      </x:c>
      <x:c r="B18" s="20" t="n">
        <x:v>46322</x:v>
      </x:c>
      <x:c r="C18" s="20" t="n">
        <x:v>46328</x:v>
      </x:c>
      <x:c r="D18" t="str">
        <x:v>Hùng</x:v>
      </x:c>
      <x:c r="E18" t="str">
        <x:v>Hùng-REL</x:v>
      </x:c>
      <x:c r="F18" t="str">
        <x:v>Release / Regression / Demo Rehearsal</x:v>
      </x:c>
      <x:c r="G18" t="str">
        <x:v>All MVP tasks</x:v>
      </x:c>
      <x:c r="H18" t="n">
        <x:v>0</x:v>
      </x:c>
      <x:c r="I18" t="str">
        <x:v>All W09–W12 MVP tasks</x:v>
      </x:c>
      <x:c r="J18" t="str">
        <x:v>No new feature. Regression, security smoke, clean deploy/redeploy, demo rehearsal, blocker fixes only.</x:v>
      </x:c>
      <x:c r="K18" t="str">
        <x:v>29/10 release candidate; 30/10 demo/release path passes; no release blocker.</x:v>
      </x:c>
      <x:c r="L18" t="str">
        <x:v>☐</x:v>
      </x:c>
      <x:c r="M18" t="str">
        <x:v>Chưa bắt đầu</x:v>
      </x:c>
      <x:c r="N18" s="28" t="n">
        <x:f>IF(L18="☑",1,IF(M18="Done",1,IF(M18="Đang làm",0.5,IF(M18="Blocked",0.25,0))))</x:f>
        <x:v>0</x:v>
      </x:c>
      <x:c r="O18" t="str"/>
      <x:c r="P18" t="str"/>
    </x:row>
    <x:row r="19">
      <x:c r="A19" t="str">
        <x:v>W13</x:v>
      </x:c>
      <x:c r="B19" s="20" t="n">
        <x:v>46322</x:v>
      </x:c>
      <x:c r="C19" s="20" t="n">
        <x:v>46328</x:v>
      </x:c>
      <x:c r="D19" t="str">
        <x:v>Khải</x:v>
      </x:c>
      <x:c r="E19" t="str">
        <x:v>Khải-REL</x:v>
      </x:c>
      <x:c r="F19" t="str">
        <x:v>Release / Regression / Demo Rehearsal</x:v>
      </x:c>
      <x:c r="G19" t="str">
        <x:v>All MVP tasks</x:v>
      </x:c>
      <x:c r="H19" t="n">
        <x:v>0</x:v>
      </x:c>
      <x:c r="I19" t="str">
        <x:v>All W09–W12 MVP tasks</x:v>
      </x:c>
      <x:c r="J19" t="str">
        <x:v>No new feature. Regression, security smoke, clean deploy/redeploy, demo rehearsal, blocker fixes only.</x:v>
      </x:c>
      <x:c r="K19" t="str">
        <x:v>29/10 release candidate; 30/10 demo/release path passes; no release blocker.</x:v>
      </x:c>
      <x:c r="L19" t="str">
        <x:v>☐</x:v>
      </x:c>
      <x:c r="M19" t="str">
        <x:v>Chưa bắt đầu</x:v>
      </x:c>
      <x:c r="N19" s="28" t="n">
        <x:f>IF(L19="☑",1,IF(M19="Done",1,IF(M19="Đang làm",0.5,IF(M19="Blocked",0.25,0))))</x:f>
        <x:v>0</x:v>
      </x:c>
      <x:c r="O19" t="str"/>
      <x:c r="P19" t="str"/>
    </x:row>
    <x:row r="20">
      <x:c r="A20" t="str">
        <x:v>W13</x:v>
      </x:c>
      <x:c r="B20" s="20" t="n">
        <x:v>46322</x:v>
      </x:c>
      <x:c r="C20" s="20" t="n">
        <x:v>46328</x:v>
      </x:c>
      <x:c r="D20" t="str">
        <x:v>Kiên</x:v>
      </x:c>
      <x:c r="E20" t="str">
        <x:v>Kiên-REL</x:v>
      </x:c>
      <x:c r="F20" t="str">
        <x:v>Release / Regression / Demo Rehearsal</x:v>
      </x:c>
      <x:c r="G20" t="str">
        <x:v>All MVP tasks</x:v>
      </x:c>
      <x:c r="H20" t="n">
        <x:v>0</x:v>
      </x:c>
      <x:c r="I20" t="str">
        <x:v>All W09–W12 MVP tasks</x:v>
      </x:c>
      <x:c r="J20" t="str">
        <x:v>No new feature. Regression, security smoke, clean deploy/redeploy, demo rehearsal, blocker fixes only.</x:v>
      </x:c>
      <x:c r="K20" t="str">
        <x:v>29/10 release candidate; 30/10 demo/release path passes; no release blocker.</x:v>
      </x:c>
      <x:c r="L20" t="str">
        <x:v>☐</x:v>
      </x:c>
      <x:c r="M20" t="str">
        <x:v>Chưa bắt đầu</x:v>
      </x:c>
      <x:c r="N20" s="28" t="n">
        <x:f>IF(L20="☑",1,IF(M20="Done",1,IF(M20="Đang làm",0.5,IF(M20="Blocked",0.25,0))))</x:f>
        <x:v>0</x:v>
      </x:c>
      <x:c r="O20" t="str"/>
      <x:c r="P20" t="str"/>
    </x:row>
    <x:row r="21">
      <x:c r="A21" t="str">
        <x:v>W13</x:v>
      </x:c>
      <x:c r="B21" s="20" t="n">
        <x:v>46322</x:v>
      </x:c>
      <x:c r="C21" s="20" t="n">
        <x:v>46328</x:v>
      </x:c>
      <x:c r="D21" t="str">
        <x:v>Thắng</x:v>
      </x:c>
      <x:c r="E21" t="str">
        <x:v>Thắng-REL</x:v>
      </x:c>
      <x:c r="F21" t="str">
        <x:v>Release / Regression / Demo Rehearsal</x:v>
      </x:c>
      <x:c r="G21" t="str">
        <x:v>All MVP tasks</x:v>
      </x:c>
      <x:c r="H21" t="n">
        <x:v>0</x:v>
      </x:c>
      <x:c r="I21" t="str">
        <x:v>All W09–W12 MVP tasks</x:v>
      </x:c>
      <x:c r="J21" t="str">
        <x:v>No new feature. Regression, security smoke, clean deploy/redeploy, demo rehearsal, blocker fixes only.</x:v>
      </x:c>
      <x:c r="K21" t="str">
        <x:v>29/10 release candidate; 30/10 demo/release path passes; no release blocker.</x:v>
      </x:c>
      <x:c r="L21" t="str">
        <x:v>☐</x:v>
      </x:c>
      <x:c r="M21" t="str">
        <x:v>Chưa bắt đầu</x:v>
      </x:c>
      <x:c r="N21" s="28" t="n">
        <x:f>IF(L21="☑",1,IF(M21="Done",1,IF(M21="Đang làm",0.5,IF(M21="Blocked",0.25,0))))</x:f>
        <x:v>0</x:v>
      </x:c>
      <x:c r="O21" t="str"/>
      <x:c r="P21" t="str"/>
    </x:row>
  </x:sheetData>
  <x:conditionalFormatting sqref="A2:P21">
    <x:cfRule type="expression" dxfId="0" priority="1">
      <x:formula>$L2="☑"</x:formula>
    </x:cfRule>
  </x:conditionalFormatting>
  <x:conditionalFormatting sqref="M2:M21">
    <x:cfRule type="expression" dxfId="1" priority="2">
      <x:formula>$M2="Blocked"</x:formula>
    </x:cfRule>
  </x:conditionalFormatting>
  <x:dataValidations count="2">
    <x:dataValidation type="list" sqref="L2:L21">
      <x:formula1>"☐,☑"</x:formula1>
    </x:dataValidation>
    <x:dataValidation type="list" sqref="M2:M21">
      <x:formula1>"Chưa bắt đầu,Đang làm,Blocked,Done"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72" hidden="0" customWidth="1"/>
  </x:cols>
  <x:sheetData>
    <x:row r="1">
      <x:c r="A1" s="14" t="str">
        <x:v>Module</x:v>
      </x:c>
      <x:c r="B1" s="14" t="str">
        <x:v>Capability</x:v>
      </x:c>
      <x:c r="C1" s="14" t="str">
        <x:v>Basic demo required by 30/10</x:v>
      </x:c>
    </x:row>
    <x:row r="2">
      <x:c r="A2" s="30" t="str">
        <x:v>M01</x:v>
      </x:c>
      <x:c r="B2" s="30" t="str">
        <x:v>Account &amp; Identity</x:v>
      </x:c>
      <x:c r="C2" s="30" t="str">
        <x:v>Register/verify; login/session/refresh/logout; Guest; basic profile/RBAC/quota; Google login basic.</x:v>
      </x:c>
    </x:row>
    <x:row r="3">
      <x:c r="A3" s="30" t="str">
        <x:v>M02</x:v>
      </x:c>
      <x:c r="B3" s="30" t="str">
        <x:v>URL &amp; Website Risk Scan</x:v>
      </x:c>
      <x:c r="C3" s="30" t="str">
        <x:v>URL intake/normalize/cache; SSRF-safe fetch; redirect; TLS/header; HTML/form basic signals.</x:v>
      </x:c>
    </x:row>
    <x:row r="4">
      <x:c r="A4" s="30" t="str">
        <x:v>M03</x:v>
      </x:c>
      <x:c r="B4" s="30" t="str">
        <x:v>Text &amp; Transaction Scam Analysis</x:v>
      </x:c>
      <x:c r="C4" s="30" t="str">
        <x:v>Vietnamese normalization; async scan; scam patterns; entity extraction.</x:v>
      </x:c>
    </x:row>
    <x:row r="5">
      <x:c r="A5" s="30" t="str">
        <x:v>M04</x:v>
      </x:c>
      <x:c r="B5" s="30" t="str">
        <x:v>Phone &amp; Bank Reputation Check</x:v>
      </x:c>
      <x:c r="C5" s="30" t="str">
        <x:v>PHONE/BANK entity endpoints; normalize; reputation/NO_DATA; final RiskResult.</x:v>
      </x:c>
    </x:row>
    <x:row r="6">
      <x:c r="A6" s="30" t="str">
        <x:v>M05</x:v>
      </x:c>
      <x:c r="B6" s="30" t="str">
        <x:v>QR / VietQR Scan</x:v>
      </x:c>
      <x:c r="C6" s="30" t="str">
        <x:v>Decode/classify; VietQR parse; nested routing to URL/Text/Entity.</x:v>
      </x:c>
    </x:row>
    <x:row r="7">
      <x:c r="A7" s="30" t="str">
        <x:v>M06</x:v>
      </x:c>
      <x:c r="B7" s="30" t="str">
        <x:v>Scan Result, History &amp; Export</x:v>
      </x:c>
      <x:c r="C7" s="30" t="str">
        <x:v>Shared RiskResult UI; history list/detail; minimal export/download.</x:v>
      </x:c>
    </x:row>
    <x:row r="8">
      <x:c r="A8" s="30" t="str">
        <x:v>M07</x:v>
      </x:c>
      <x:c r="B8" s="30" t="str">
        <x:v>Community Report &amp; Moderation</x:v>
      </x:c>
      <x:c r="C8" s="30" t="str">
        <x:v>Submit report/evidence; moderator approve/reject; verified report updates reputation.</x:v>
      </x:c>
    </x:row>
    <x:row r="9">
      <x:c r="A9" s="30" t="str">
        <x:v>M08</x:v>
      </x:c>
      <x:c r="B9" s="30" t="str">
        <x:v>Threat Intelligence Management</x:v>
      </x:c>
      <x:c r="C9" s="30" t="str">
        <x:v>Risk entity registry; ThreatQuery; seeded/imported threat data; basic list/admin path.</x:v>
      </x:c>
    </x:row>
    <x:row r="10">
      <x:c r="A10" s="30" t="str">
        <x:v>M09</x:v>
      </x:c>
      <x:c r="B10" s="30" t="str">
        <x:v>Rule, Risk Policy &amp; Admin Operations</x:v>
      </x:c>
      <x:c r="C10" s="30" t="str">
        <x:v>Seeded/versioned rule repository; deterministic rule evaluation; fusion; result composition.</x:v>
      </x:c>
    </x:row>
    <x:row r="11">
      <x:c r="A11" s="30" t="str">
        <x:v>M10</x:v>
      </x:c>
      <x:c r="B11" s="30" t="str">
        <x:v>Notification &amp; User Follow-up</x:v>
      </x:c>
      <x:c r="C11" s="30" t="str">
        <x:v>NotificationPort + one minimal real/in-app/console delivery path for required events.</x:v>
      </x:c>
    </x:row>
    <x:row r="12">
      <x:c r="A12" s="30" t="str">
        <x:v>M11</x:v>
      </x:c>
      <x:c r="B12" s="30" t="str">
        <x:v>AI/ML Inference</x:v>
      </x:c>
      <x:c r="C12" s="30" t="str">
        <x:v>Async AI worker; one provider/stub; success/fail/timeout; normalized AiResult.</x:v>
      </x:c>
    </x:row>
    <x:row r="13">
      <x:c r="A13" s="30" t="str">
        <x:v>M12</x:v>
      </x:c>
      <x:c r="B13" s="30" t="str">
        <x:v>Shared Scan Platform</x:v>
      </x:c>
      <x:c r="C13" s="30" t="str">
        <x:v>Dispatch, lifecycle, retry/idempotency, nested scans, AI completion barrier/degraded result.</x:v>
      </x:c>
    </x:row>
    <x:row r="14">
      <x:c r="A14" s="30" t="str">
        <x:v>M13</x:v>
      </x:c>
      <x:c r="B14" s="30" t="str">
        <x:v>Platform Infrastructure</x:v>
      </x:c>
      <x:c r="C14" s="30" t="str">
        <x:v>Secrets, Docker/runtime, CI, CD, migration, readiness/smoke, basic demo UX/a11y/i18n entry.</x:v>
      </x:c>
    </x:row>
    <x:row r="15">
      <x:c r="A15" s="30" t="str">
        <x:v>M14</x:v>
      </x:c>
      <x:c r="B15" s="30" t="str">
        <x:v>Audit &amp; Observability</x:v>
      </x:c>
      <x:c r="C15" s="30" t="str">
        <x:v>Security/business audit events and correlation trace for auth/scan/report/moderation.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40" hidden="0" customWidth="1"/>
  </x:cols>
  <x:sheetData>
    <x:row r="1">
      <x:c r="A1" s="14" t="str">
        <x:v>Cycle</x:v>
      </x:c>
      <x:c r="B1" s="14" t="str">
        <x:v>Period</x:v>
      </x:c>
      <x:c r="C1" s="14" t="str">
        <x:v>Phase</x:v>
      </x:c>
      <x:c r="D1" s="14" t="str">
        <x:v>Hùng</x:v>
      </x:c>
      <x:c r="E1" s="14" t="str">
        <x:v>Khải</x:v>
      </x:c>
      <x:c r="F1" s="14" t="str">
        <x:v>Kiên</x:v>
      </x:c>
      <x:c r="G1" s="14" t="str">
        <x:v>Thắng</x:v>
      </x:c>
      <x:c r="H1" s="14" t="str">
        <x:v>Gate / Milestone</x:v>
      </x:c>
    </x:row>
    <x:row r="2">
      <x:c r="A2" s="30" t="str">
        <x:v>W09</x:v>
      </x:c>
      <x:c r="B2" s="30" t="str">
        <x:v>27/09–05/10</x:v>
      </x:c>
      <x:c r="C2" s="30" t="str">
        <x:v>Foundation &amp; Contract Freeze</x:v>
      </x:c>
      <x:c r="D2" s="30" t="str">
        <x:v>H-MVP01 — Identity Foundation + Shared Delivery/Audit Contracts</x:v>
      </x:c>
      <x:c r="E2" s="30" t="str">
        <x:v>K-MVP01 — Secrets + CI + URL Worker Contract</x:v>
      </x:c>
      <x:c r="F2" s="30" t="str">
        <x:v>I-MVP01 — Scan / Entity / Risk Contracts + Rule Repository Baseline</x:v>
      </x:c>
      <x:c r="G2" s="30" t="str">
        <x:v>T-MVP01 — Text Normalization + Worker / Result Contracts</x:v>
      </x:c>
      <x:c r="H2" s="30" t="str">
        <x:v>05/10: contracts frozen + CI required checks green</x:v>
      </x:c>
    </x:row>
    <x:row r="3">
      <x:c r="A3" s="30" t="str">
        <x:v>W10</x:v>
      </x:c>
      <x:c r="B3" s="30" t="str">
        <x:v>06/10–12/10</x:v>
      </x:c>
      <x:c r="C3" s="30" t="str">
        <x:v>Core Vertical Slices</x:v>
      </x:c>
      <x:c r="D3" s="30" t="str">
        <x:v>H-MVP02 — Session, Guest, RBAC, Basic Profile &amp; Quota</x:v>
      </x:c>
      <x:c r="E3" s="30" t="str">
        <x:v>K-MVP02 — Platform Runtime + URL Basic Vertical Slice</x:v>
      </x:c>
      <x:c r="F3" s="30" t="str">
        <x:v>I-MVP02 — Scan Lifecycle + Risk Entity Registry + Risk Core</x:v>
      </x:c>
      <x:c r="G3" s="30" t="str">
        <x:v>T-MVP02 — Async Text Scan + Result / History / Basic Export</x:v>
      </x:c>
      <x:c r="H3" s="30" t="str">
        <x:v>12/10: auth/url/text/scan/risk verticals runnable</x:v>
      </x:c>
    </x:row>
    <x:row r="4">
      <x:c r="A4" s="30" t="str">
        <x:v>W11</x:v>
      </x:c>
      <x:c r="B4" s="30" t="str">
        <x:v>13/10–19/10</x:v>
      </x:c>
      <x:c r="C4" s="30" t="str">
        <x:v>MVP Breadth Expansion</x:v>
      </x:c>
      <x:c r="D4" s="30" t="str">
        <x:v>H-MVP03 — Community Report Submission + Minimal Notification</x:v>
      </x:c>
      <x:c r="E4" s="30" t="str">
        <x:v>K-MVP03 — SSRF Guard + CD + Redirect Baseline</x:v>
      </x:c>
      <x:c r="F4" s="30" t="str">
        <x:v>I-MVP03 — ThreatQuery + Phone / Bank + Threat Intel Basic</x:v>
      </x:c>
      <x:c r="G4" s="30" t="str">
        <x:v>T-MVP03 — Entity Extraction + QR / VietQR Basic</x:v>
      </x:c>
      <x:c r="H4" s="30" t="str">
        <x:v>19/10: URL/Text/Phone/Bank/QR/Community breadth + staging CD</x:v>
      </x:c>
    </x:row>
    <x:row r="5">
      <x:c r="A5" s="30" t="str">
        <x:v>W12</x:v>
      </x:c>
      <x:c r="B5" s="30" t="str">
        <x:v>20/10–26/10</x:v>
      </x:c>
      <x:c r="C5" s="30" t="str">
        <x:v>Close the Loop / Feature Freeze</x:v>
      </x:c>
      <x:c r="D5" s="30" t="str">
        <x:v>H-MVP04 — Moderation + Verified Report Bridge + Audit + Google Login</x:v>
      </x:c>
      <x:c r="E5" s="30" t="str">
        <x:v>K-MVP04 — URL Web-Depth Baseline + Demo Entry UX</x:v>
      </x:c>
      <x:c r="F5" s="30" t="str">
        <x:v>I-MVP04 — Nested Scan + AI Barrier + Final Orchestration</x:v>
      </x:c>
      <x:c r="G5" s="30" t="str">
        <x:v>T-MVP04 — AI Worker + One Provider + QR Nested Integration</x:v>
      </x:c>
      <x:c r="H5" s="30" t="str">
        <x:v>26/10: M01–M14 basic capability integrated; feature freeze</x:v>
      </x:c>
    </x:row>
    <x:row r="6">
      <x:c r="A6" s="30" t="str">
        <x:v>W13</x:v>
      </x:c>
      <x:c r="B6" s="30" t="str">
        <x:v>27/10–02/11</x:v>
      </x:c>
      <x:c r="C6" s="30" t="str">
        <x:v>Release</x:v>
      </x:c>
      <x:c r="D6" s="30" t="str">
        <x:v>Regression/fix/demo</x:v>
      </x:c>
      <x:c r="E6" s="30" t="str">
        <x:v>Deploy/release/fix</x:v>
      </x:c>
      <x:c r="F6" s="30" t="str">
        <x:v>Integration/risk regression</x:v>
      </x:c>
      <x:c r="G6" s="30" t="str">
        <x:v>UI/worker regression/demo</x:v>
      </x:c>
      <x:c r="H6" s="30" t="str">
        <x:v>30/10: v0.1.0 MVP feature-complete</x:v>
      </x:c>
    </x:row>
    <x:row r="7">
      <x:c r="A7" s="30" t="str">
        <x:v>W14</x:v>
      </x:c>
      <x:c r="B7" s="30" t="str">
        <x:v>03/11–09/11</x:v>
      </x:c>
      <x:c r="C7" s="30" t="str">
        <x:v>Depth Expansion 1</x:v>
      </x:c>
      <x:c r="D7" s="30" t="str">
        <x:v>H-WP04 remainder: password lifecycle/privacy</x:v>
      </x:c>
      <x:c r="E7" s="30" t="str">
        <x:v>K-WP06: brand impersonation/typosquatting</x:v>
      </x:c>
      <x:c r="F7" s="30" t="str">
        <x:v>I-WP01: threat feed ingestion/dataset lifecycle</x:v>
      </x:c>
      <x:c r="G7" s="30" t="str">
        <x:v>T-WP04: scam taxonomy/classification</x:v>
      </x:c>
      <x:c r="H7" s="30" t="str">
        <x:v>Expansion/hardening only</x:v>
      </x:c>
    </x:row>
    <x:row r="8">
      <x:c r="A8" s="30" t="str">
        <x:v>W15</x:v>
      </x:c>
      <x:c r="B8" s="30" t="str">
        <x:v>10/11–16/11</x:v>
      </x:c>
      <x:c r="C8" s="30" t="str">
        <x:v>Depth Expansion 1</x:v>
      </x:c>
      <x:c r="D8" s="30" t="str">
        <x:v>H-WP08: notification center/follow-up UX</x:v>
      </x:c>
      <x:c r="E8" s="30" t="str">
        <x:v>K-WP07: web evidence capture/retention</x:v>
      </x:c>
      <x:c r="F8" s="30" t="str">
        <x:v>I-WP02: whitelist/blacklist administration</x:v>
      </x:c>
      <x:c r="G8" s="30" t="str">
        <x:v>T-WP05: keyword dictionary administration</x:v>
      </x:c>
      <x:c r="H8" s="30" t="str">
        <x:v>Expansion/hardening only</x:v>
      </x:c>
    </x:row>
    <x:row r="9">
      <x:c r="A9" s="30" t="str">
        <x:v>W16</x:v>
      </x:c>
      <x:c r="B9" s="30" t="str">
        <x:v>17/11–23/11</x:v>
      </x:c>
      <x:c r="C9" s="30" t="str">
        <x:v>Depth Expansion 1 / v0.2.0</x:v>
      </x:c>
      <x:c r="D9" s="30" t="str">
        <x:v>H-WP09 + H-WP11 remainder: delivery reliability/templates/preferences</x:v>
      </x:c>
      <x:c r="E9" s="30" t="str">
        <x:v>K-WP13: structured logging/metrics/alerting</x:v>
      </x:c>
      <x:c r="F9" s="30" t="str">
        <x:v>I-WP07 remainder: rule admin UI/version activation</x:v>
      </x:c>
      <x:c r="G9" s="30" t="str">
        <x:v>T-WP11: history retention/user management</x:v>
      </x:c>
      <x:c r="H9" s="30" t="str">
        <x:v>Expansion/hardening only</x:v>
      </x:c>
    </x:row>
    <x:row r="10">
      <x:c r="A10" s="30" t="str">
        <x:v>W17</x:v>
      </x:c>
      <x:c r="B10" s="30" t="str">
        <x:v>24/11–30/11</x:v>
      </x:c>
      <x:c r="C10" s="30" t="str">
        <x:v>Depth Expansion 2</x:v>
      </x:c>
      <x:c r="D10" s="30" t="str">
        <x:v>H-WP14: reporter reputation/abuse controls</x:v>
      </x:c>
      <x:c r="E10" s="30" t="str">
        <x:v>K-WP14 remainder: a11y/i18n/mobile entry</x:v>
      </x:c>
      <x:c r="F10" s="30" t="str">
        <x:v>I-WP08: rule preview/simulation/shadow evaluation</x:v>
      </x:c>
      <x:c r="G10" s="30" t="str">
        <x:v>T-WP13: result sharing/external consumption</x:v>
      </x:c>
      <x:c r="H10" s="30" t="str">
        <x:v>Expansion/hardening only</x:v>
      </x:c>
    </x:row>
    <x:row r="11">
      <x:c r="A11" s="30" t="str">
        <x:v>W18</x:v>
      </x:c>
      <x:c r="B11" s="30" t="str">
        <x:v>01/12–07/12</x:v>
      </x:c>
      <x:c r="C11" s="30" t="str">
        <x:v>Depth Expansion 2</x:v>
      </x:c>
      <x:c r="D11" s="30" t="str">
        <x:v>H-WP18: audit query/operations/investigation UI</x:v>
      </x:c>
      <x:c r="E11" s="30" t="str">
        <x:v>K-WP03/04/05 remainder: advanced redirect/TLS/web content</x:v>
      </x:c>
      <x:c r="F11" s="30" t="str">
        <x:v>I-WP09: rule version history/rollback</x:v>
      </x:c>
      <x:c r="G11" s="30" t="str">
        <x:v>T-WP14 remainder: async export/admin reporting</x:v>
      </x:c>
      <x:c r="H11" s="30" t="str">
        <x:v>Expansion/hardening only</x:v>
      </x:c>
    </x:row>
    <x:row r="12">
      <x:c r="A12" s="30" t="str">
        <x:v>W19</x:v>
      </x:c>
      <x:c r="B12" s="30" t="str">
        <x:v>08/12–14/12</x:v>
      </x:c>
      <x:c r="C12" s="30" t="str">
        <x:v>Depth Expansion 2 / v0.3.0</x:v>
      </x:c>
      <x:c r="D12" s="30" t="str">
        <x:v>H-WP06: advanced account security</x:v>
      </x:c>
      <x:c r="E12" s="30" t="str">
        <x:v>K-WP06/07 hardening + evidence polish</x:v>
      </x:c>
      <x:c r="F12" s="30" t="str">
        <x:v>I-WP10: risk/scam operations analytics</x:v>
      </x:c>
      <x:c r="G12" s="30" t="str">
        <x:v>T-WP17: AI safety/guardrails/cache options</x:v>
      </x:c>
      <x:c r="H12" s="30" t="str">
        <x:v>Expansion/hardening only</x:v>
      </x:c>
    </x:row>
    <x:row r="13">
      <x:c r="A13" s="30" t="str">
        <x:v>W20</x:v>
      </x:c>
      <x:c r="B13" s="30" t="str">
        <x:v>15/12–21/12</x:v>
      </x:c>
      <x:c r="C13" s="30" t="str">
        <x:v>Beta Hardening</x:v>
      </x:c>
      <x:c r="D13" s="30" t="str">
        <x:v>Auth/community regression + notification hardening</x:v>
      </x:c>
      <x:c r="E13" s="30" t="str">
        <x:v>Infra/runtime/security hardening</x:v>
      </x:c>
      <x:c r="F13" s="30" t="str">
        <x:v>Risk/reputation load + failure-path hardening</x:v>
      </x:c>
      <x:c r="G13" s="30" t="str">
        <x:v>Text/QR/AI regression + UX polish</x:v>
      </x:c>
      <x:c r="H13" s="30" t="str">
        <x:v>Expansion/hardening only</x:v>
      </x:c>
    </x:row>
    <x:row r="14">
      <x:c r="A14" s="30" t="str">
        <x:v>W21</x:v>
      </x:c>
      <x:c r="B14" s="30" t="str">
        <x:v>22/12–28/12</x:v>
      </x:c>
      <x:c r="C14" s="30" t="str">
        <x:v>Beta Hardening</x:v>
      </x:c>
      <x:c r="D14" s="30" t="str">
        <x:v>Buffer / bugfix / docs</x:v>
      </x:c>
      <x:c r="E14" s="30" t="str">
        <x:v>Buffer / bugfix / release automation</x:v>
      </x:c>
      <x:c r="F14" s="30" t="str">
        <x:v>Buffer / bugfix / data quality</x:v>
      </x:c>
      <x:c r="G14" s="30" t="str">
        <x:v>T-WP18: AI evaluation baseline + bugfix</x:v>
      </x:c>
      <x:c r="H14" s="30" t="str">
        <x:v>Expansion/hardening only</x:v>
      </x:c>
    </x:row>
    <x:row r="15">
      <x:c r="A15" s="30" t="str">
        <x:v>W22</x:v>
      </x:c>
      <x:c r="B15" s="30" t="str">
        <x:v>29/12–04/01</x:v>
      </x:c>
      <x:c r="C15" s="30" t="str">
        <x:v>Beta Hardening</x:v>
      </x:c>
      <x:c r="D15" s="30" t="str">
        <x:v>Buffer / integration</x:v>
      </x:c>
      <x:c r="E15" s="30" t="str">
        <x:v>Buffer / integration</x:v>
      </x:c>
      <x:c r="F15" s="30" t="str">
        <x:v>Buffer / integration</x:v>
      </x:c>
      <x:c r="G15" s="30" t="str">
        <x:v>Buffer / integration</x:v>
      </x:c>
      <x:c r="H15" s="30" t="str">
        <x:v>Expansion/hardening only</x:v>
      </x:c>
    </x:row>
    <x:row r="16">
      <x:c r="A16" s="30" t="str">
        <x:v>W23</x:v>
      </x:c>
      <x:c r="B16" s="30" t="str">
        <x:v>05/01–11/01</x:v>
      </x:c>
      <x:c r="C16" s="30" t="str">
        <x:v>Beta Candidate v0.4.0</x:v>
      </x:c>
      <x:c r="D16" s="30" t="str">
        <x:v>Security/privacy review</x:v>
      </x:c>
      <x:c r="E16" s="30" t="str">
        <x:v>Release rehearsal + observability</x:v>
      </x:c>
      <x:c r="F16" s="30" t="str">
        <x:v>Risk/reputation regression</x:v>
      </x:c>
      <x:c r="G16" s="30" t="str">
        <x:v>AI/QR/text evaluation regression</x:v>
      </x:c>
      <x:c r="H16" s="30" t="str">
        <x:v>Expansion/hardening only</x:v>
      </x:c>
    </x:row>
    <x:row r="17">
      <x:c r="A17" s="30" t="str">
        <x:v>W24</x:v>
      </x:c>
      <x:c r="B17" s="30" t="str">
        <x:v>12/01–18/01</x:v>
      </x:c>
      <x:c r="C17" s="30" t="str">
        <x:v>Public Beta Prep</x:v>
      </x:c>
      <x:c r="D17" s="30" t="str">
        <x:v>Community/moderation UX polish</x:v>
      </x:c>
      <x:c r="E17" s="30" t="str">
        <x:v>Production config + dashboards</x:v>
      </x:c>
      <x:c r="F17" s="30" t="str">
        <x:v>Threat/risk ops readiness</x:v>
      </x:c>
      <x:c r="G17" s="30" t="str">
        <x:v>Result/history/AI UX polish</x:v>
      </x:c>
      <x:c r="H17" s="30" t="str">
        <x:v>Expansion/hardening only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</x:cols>
  <x:sheetData>
    <x:row r="1">
      <x:c r="A1" s="14" t="str">
        <x:v>Cycle</x:v>
      </x:c>
      <x:c r="B1" s="14" t="str">
        <x:v>Period</x:v>
      </x:c>
      <x:c r="C1" s="14" t="str">
        <x:v>Goal</x:v>
      </x:c>
      <x:c r="D1" s="14" t="str">
        <x:v>Hùng</x:v>
      </x:c>
      <x:c r="E1" s="14" t="str">
        <x:v>Khải</x:v>
      </x:c>
      <x:c r="F1" s="14" t="str">
        <x:v>Kiên</x:v>
      </x:c>
      <x:c r="G1" s="14" t="str">
        <x:v>Thắng</x:v>
      </x:c>
    </x:row>
    <x:row r="2">
      <x:c r="A2" s="30" t="str">
        <x:v>W14</x:v>
      </x:c>
      <x:c r="B2" s="30" t="str">
        <x:v>03/11–09/11</x:v>
      </x:c>
      <x:c r="C2" s="30" t="str">
        <x:v>Depth Expansion 1</x:v>
      </x:c>
      <x:c r="D2" s="30" t="str">
        <x:v>H-WP04 remainder: password lifecycle/privacy</x:v>
      </x:c>
      <x:c r="E2" s="30" t="str">
        <x:v>K-WP06: brand impersonation/typosquatting</x:v>
      </x:c>
      <x:c r="F2" s="30" t="str">
        <x:v>I-WP01: threat feed ingestion/dataset lifecycle</x:v>
      </x:c>
      <x:c r="G2" s="30" t="str">
        <x:v>T-WP04: scam taxonomy/classification</x:v>
      </x:c>
    </x:row>
    <x:row r="3">
      <x:c r="A3" s="30" t="str">
        <x:v>W15</x:v>
      </x:c>
      <x:c r="B3" s="30" t="str">
        <x:v>10/11–16/11</x:v>
      </x:c>
      <x:c r="C3" s="30" t="str">
        <x:v>Depth Expansion 1</x:v>
      </x:c>
      <x:c r="D3" s="30" t="str">
        <x:v>H-WP08: notification center/follow-up UX</x:v>
      </x:c>
      <x:c r="E3" s="30" t="str">
        <x:v>K-WP07: web evidence capture/retention</x:v>
      </x:c>
      <x:c r="F3" s="30" t="str">
        <x:v>I-WP02: whitelist/blacklist administration</x:v>
      </x:c>
      <x:c r="G3" s="30" t="str">
        <x:v>T-WP05: keyword dictionary administration</x:v>
      </x:c>
    </x:row>
    <x:row r="4">
      <x:c r="A4" s="30" t="str">
        <x:v>W16</x:v>
      </x:c>
      <x:c r="B4" s="30" t="str">
        <x:v>17/11–23/11</x:v>
      </x:c>
      <x:c r="C4" s="30" t="str">
        <x:v>Depth Expansion 1 / v0.2.0</x:v>
      </x:c>
      <x:c r="D4" s="30" t="str">
        <x:v>H-WP09 + H-WP11 remainder: delivery reliability/templates/preferences</x:v>
      </x:c>
      <x:c r="E4" s="30" t="str">
        <x:v>K-WP13: structured logging/metrics/alerting</x:v>
      </x:c>
      <x:c r="F4" s="30" t="str">
        <x:v>I-WP07 remainder: rule admin UI/version activation</x:v>
      </x:c>
      <x:c r="G4" s="30" t="str">
        <x:v>T-WP11: history retention/user management</x:v>
      </x:c>
    </x:row>
    <x:row r="5">
      <x:c r="A5" s="30" t="str">
        <x:v>W17</x:v>
      </x:c>
      <x:c r="B5" s="30" t="str">
        <x:v>24/11–30/11</x:v>
      </x:c>
      <x:c r="C5" s="30" t="str">
        <x:v>Depth Expansion 2</x:v>
      </x:c>
      <x:c r="D5" s="30" t="str">
        <x:v>H-WP14: reporter reputation/abuse controls</x:v>
      </x:c>
      <x:c r="E5" s="30" t="str">
        <x:v>K-WP14 remainder: a11y/i18n/mobile entry</x:v>
      </x:c>
      <x:c r="F5" s="30" t="str">
        <x:v>I-WP08: rule preview/simulation/shadow evaluation</x:v>
      </x:c>
      <x:c r="G5" s="30" t="str">
        <x:v>T-WP13: result sharing/external consumption</x:v>
      </x:c>
    </x:row>
    <x:row r="6">
      <x:c r="A6" s="30" t="str">
        <x:v>W18</x:v>
      </x:c>
      <x:c r="B6" s="30" t="str">
        <x:v>01/12–07/12</x:v>
      </x:c>
      <x:c r="C6" s="30" t="str">
        <x:v>Depth Expansion 2</x:v>
      </x:c>
      <x:c r="D6" s="30" t="str">
        <x:v>H-WP18: audit query/operations/investigation UI</x:v>
      </x:c>
      <x:c r="E6" s="30" t="str">
        <x:v>K-WP03/04/05 remainder: advanced redirect/TLS/web content</x:v>
      </x:c>
      <x:c r="F6" s="30" t="str">
        <x:v>I-WP09: rule version history/rollback</x:v>
      </x:c>
      <x:c r="G6" s="30" t="str">
        <x:v>T-WP14 remainder: async export/admin reporting</x:v>
      </x:c>
    </x:row>
    <x:row r="7">
      <x:c r="A7" s="30" t="str">
        <x:v>W19</x:v>
      </x:c>
      <x:c r="B7" s="30" t="str">
        <x:v>08/12–14/12</x:v>
      </x:c>
      <x:c r="C7" s="30" t="str">
        <x:v>Depth Expansion 2 / v0.3.0</x:v>
      </x:c>
      <x:c r="D7" s="30" t="str">
        <x:v>H-WP06: advanced account security</x:v>
      </x:c>
      <x:c r="E7" s="30" t="str">
        <x:v>K-WP06/07 hardening + evidence polish</x:v>
      </x:c>
      <x:c r="F7" s="30" t="str">
        <x:v>I-WP10: risk/scam operations analytics</x:v>
      </x:c>
      <x:c r="G7" s="30" t="str">
        <x:v>T-WP17: AI safety/guardrails/cache options</x:v>
      </x:c>
    </x:row>
    <x:row r="8">
      <x:c r="A8" s="30" t="str">
        <x:v>W20</x:v>
      </x:c>
      <x:c r="B8" s="30" t="str">
        <x:v>15/12–21/12</x:v>
      </x:c>
      <x:c r="C8" s="30" t="str">
        <x:v>Beta Hardening</x:v>
      </x:c>
      <x:c r="D8" s="30" t="str">
        <x:v>Auth/community regression + notification hardening</x:v>
      </x:c>
      <x:c r="E8" s="30" t="str">
        <x:v>Infra/runtime/security hardening</x:v>
      </x:c>
      <x:c r="F8" s="30" t="str">
        <x:v>Risk/reputation load + failure-path hardening</x:v>
      </x:c>
      <x:c r="G8" s="30" t="str">
        <x:v>Text/QR/AI regression + UX polish</x:v>
      </x:c>
    </x:row>
    <x:row r="9">
      <x:c r="A9" s="30" t="str">
        <x:v>W21</x:v>
      </x:c>
      <x:c r="B9" s="30" t="str">
        <x:v>22/12–28/12</x:v>
      </x:c>
      <x:c r="C9" s="30" t="str">
        <x:v>Beta Hardening</x:v>
      </x:c>
      <x:c r="D9" s="30" t="str">
        <x:v>Buffer / bugfix / docs</x:v>
      </x:c>
      <x:c r="E9" s="30" t="str">
        <x:v>Buffer / bugfix / release automation</x:v>
      </x:c>
      <x:c r="F9" s="30" t="str">
        <x:v>Buffer / bugfix / data quality</x:v>
      </x:c>
      <x:c r="G9" s="30" t="str">
        <x:v>T-WP18: AI evaluation baseline + bugfix</x:v>
      </x:c>
    </x:row>
    <x:row r="10">
      <x:c r="A10" s="30" t="str">
        <x:v>W22</x:v>
      </x:c>
      <x:c r="B10" s="30" t="str">
        <x:v>29/12–04/01</x:v>
      </x:c>
      <x:c r="C10" s="30" t="str">
        <x:v>Beta Hardening</x:v>
      </x:c>
      <x:c r="D10" s="30" t="str">
        <x:v>Buffer / integration</x:v>
      </x:c>
      <x:c r="E10" s="30" t="str">
        <x:v>Buffer / integration</x:v>
      </x:c>
      <x:c r="F10" s="30" t="str">
        <x:v>Buffer / integration</x:v>
      </x:c>
      <x:c r="G10" s="30" t="str">
        <x:v>Buffer / integration</x:v>
      </x:c>
    </x:row>
    <x:row r="11">
      <x:c r="A11" s="30" t="str">
        <x:v>W23</x:v>
      </x:c>
      <x:c r="B11" s="30" t="str">
        <x:v>05/01–11/01</x:v>
      </x:c>
      <x:c r="C11" s="30" t="str">
        <x:v>Beta Candidate v0.4.0</x:v>
      </x:c>
      <x:c r="D11" s="30" t="str">
        <x:v>Security/privacy review</x:v>
      </x:c>
      <x:c r="E11" s="30" t="str">
        <x:v>Release rehearsal + observability</x:v>
      </x:c>
      <x:c r="F11" s="30" t="str">
        <x:v>Risk/reputation regression</x:v>
      </x:c>
      <x:c r="G11" s="30" t="str">
        <x:v>AI/QR/text evaluation regression</x:v>
      </x:c>
    </x:row>
    <x:row r="12">
      <x:c r="A12" s="30" t="str">
        <x:v>W24</x:v>
      </x:c>
      <x:c r="B12" s="30" t="str">
        <x:v>12/01–18/01</x:v>
      </x:c>
      <x:c r="C12" s="30" t="str">
        <x:v>Public Beta Prep</x:v>
      </x:c>
      <x:c r="D12" s="30" t="str">
        <x:v>Community/moderation UX polish</x:v>
      </x:c>
      <x:c r="E12" s="30" t="str">
        <x:v>Production config + dashboards</x:v>
      </x:c>
      <x:c r="F12" s="30" t="str">
        <x:v>Threat/risk ops readiness</x:v>
      </x:c>
      <x:c r="G12" s="30" t="str">
        <x:v>Result/history/AI UX polish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72" hidden="0" customWidth="1"/>
  </x:cols>
  <x:sheetData>
    <x:row r="1">
      <x:c r="A1" s="14" t="str">
        <x:v>Version</x:v>
      </x:c>
      <x:c r="B1" s="14" t="str">
        <x:v>Target</x:v>
      </x:c>
      <x:c r="C1" s="14" t="str">
        <x:v>Purpose</x:v>
      </x:c>
    </x:row>
    <x:row r="2">
      <x:c r="A2" s="30" t="str">
        <x:v>v0.1.0</x:v>
      </x:c>
      <x:c r="B2" s="32" t="n">
        <x:v>46325</x:v>
      </x:c>
      <x:c r="C2" s="30" t="str">
        <x:v>MVP breadth-complete: M01–M14 have a basic demo flow; reproducible staging/VPS deploy</x:v>
      </x:c>
    </x:row>
    <x:row r="3">
      <x:c r="A3" s="30" t="str">
        <x:v>v0.2.0</x:v>
      </x:c>
      <x:c r="B3" s="32" t="n">
        <x:v>46346</x:v>
      </x:c>
      <x:c r="C3" s="30" t="str">
        <x:v>Depth Expansion 1</x:v>
      </x:c>
    </x:row>
    <x:row r="4">
      <x:c r="A4" s="30" t="str">
        <x:v>v0.3.0</x:v>
      </x:c>
      <x:c r="B4" s="32" t="n">
        <x:v>46367</x:v>
      </x:c>
      <x:c r="C4" s="30" t="str">
        <x:v>Depth Expansion 2</x:v>
      </x:c>
    </x:row>
    <x:row r="5">
      <x:c r="A5" s="30" t="str">
        <x:v>v0.4.0</x:v>
      </x:c>
      <x:c r="B5" s="32" t="n">
        <x:v>46395</x:v>
      </x:c>
      <x:c r="C5" s="30" t="str">
        <x:v>Beta Candidate / hardening</x:v>
      </x:c>
    </x:row>
    <x:row r="6">
      <x:c r="A6" s="30" t="str">
        <x:v>v0.5.0-beta.1</x:v>
      </x:c>
      <x:c r="B6" s="32" t="n">
        <x:v>46409</x:v>
      </x:c>
      <x:c r="C6" s="30" t="str">
        <x:v>Public Beta</x:v>
      </x:c>
    </x:row>
    <x:row r="7">
      <x:c r="A7" s="30" t="str">
        <x:v>DATA-FREEZE</x:v>
      </x:c>
      <x:c r="B7" s="32" t="n">
        <x:v>46477</x:v>
      </x:c>
      <x:c r="C7" s="30" t="str">
        <x:v>Freeze main dataset/feedback</x:v>
      </x:c>
    </x:row>
    <x:row r="8">
      <x:c r="A8" s="30" t="str">
        <x:v>v1.0.0-rc1</x:v>
      </x:c>
      <x:c r="B8" s="32" t="n">
        <x:v>46535</x:v>
      </x:c>
      <x:c r="C8" s="30" t="str">
        <x:v>Final regression/security/docs</x:v>
      </x:c>
    </x:row>
    <x:row r="9">
      <x:c r="A9" s="30" t="str">
        <x:v>v1.0.0</x:v>
      </x:c>
      <x:c r="B9" s="32" t="n">
        <x:v>46542</x:v>
      </x:c>
      <x:c r="C9" s="30" t="str">
        <x:v>Final Product Baseline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3" max="3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3" max="13" width="12" hidden="0" customWidth="1"/>
    <x:col min="14" max="14" width="20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30" customHeight="1">
      <x:c r="A1" s="48" t="str">
        <x:v>Anti-Scam V2.1 — Full Project Progress (422 Features)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</x:row>
    <x:row r="3">
      <x:c r="A3" s="39" t="str">
        <x:v>Overall Project</x:v>
      </x:c>
      <x:c r="B3" s="39" t="str">
        <x:v>Value</x:v>
      </x:c>
      <x:c r="C3" s="30"/>
      <x:c r="D3" s="39" t="str">
        <x:v>MVP Delivery</x:v>
      </x:c>
      <x:c r="E3" s="39" t="str">
        <x:v>Value</x:v>
      </x:c>
      <x:c r="F3" s="14"/>
      <x:c r="G3" s="39" t="str">
        <x:v>Owner</x:v>
      </x:c>
      <x:c r="H3" s="39" t="str">
        <x:v>Total</x:v>
      </x:c>
      <x:c r="I3" s="39" t="str">
        <x:v>Done</x:v>
      </x:c>
      <x:c r="J3" s="39" t="str">
        <x:v>Completion</x:v>
      </x:c>
      <x:c r="K3" s="39" t="str">
        <x:v>Weighted Progress</x:v>
      </x:c>
      <x:c r="L3" s="30"/>
      <x:c r="M3" s="47" t="str">
        <x:v>How to use</x:v>
      </x:c>
      <x:c r="N3" s="47"/>
      <x:c r="O3" s="47"/>
      <x:c r="P3" s="47"/>
      <x:c r="Q3" s="47"/>
    </x:row>
    <x:row r="4">
      <x:c r="A4" s="30" t="str">
        <x:v>Total features</x:v>
      </x:c>
      <x:c r="B4" s="30" t="n">
        <x:f>COUNTA('Feature Progress'!$B$2:$B$423)</x:f>
        <x:v>422</x:v>
      </x:c>
      <x:c r="C4" s="30"/>
      <x:c r="D4" s="30" t="str">
        <x:v>MVP build tasks</x:v>
      </x:c>
      <x:c r="E4" s="30" t="n">
        <x:v>16</x:v>
      </x:c>
      <x:c r="F4" s="30"/>
      <x:c r="G4" s="40" t="str">
        <x:v>Hùng</x:v>
      </x:c>
      <x:c r="H4" s="30" t="n">
        <x:f>COUNTIF('Feature Progress'!$F$2:$F$423,G4)</x:f>
        <x:v>103</x:v>
      </x:c>
      <x:c r="I4" s="30" t="n">
        <x:f>COUNTIFS('Feature Progress'!$F$2:$F$423,G4,'Feature Progress'!$J$2:$J$423,"☑")</x:f>
        <x:v>0</x:v>
      </x:c>
      <x:c r="J4" s="40" t="n">
        <x:f>IF(H4=0,0,I4/H4)</x:f>
        <x:v>0</x:v>
      </x:c>
      <x:c r="K4" s="40" t="n">
        <x:f>IF(H4=0,0,SUMIF('Feature Progress'!$F$2:$F$423,G4,'Feature Progress'!$L$2:$L$423)/H4)</x:f>
        <x:v>0</x:v>
      </x:c>
      <x:c r="L4" s="30"/>
      <x:c r="M4" s="30" t="str">
        <x:v>1</x:v>
      </x:c>
      <x:c r="N4" s="30" t="str">
        <x:v>Feature Progress</x:v>
      </x:c>
      <x:c r="O4" s="30" t="str">
        <x:v>Tick ☑ when a feature/acceptance criterion is done</x:v>
      </x:c>
      <x:c r="P4" s="30"/>
      <x:c r="Q4" s="30"/>
    </x:row>
    <x:row r="5">
      <x:c r="A5" s="30" t="str">
        <x:v>Done</x:v>
      </x:c>
      <x:c r="B5" s="30" t="n">
        <x:f>COUNTIF('Feature Progress'!$J$2:$J$423,"☑")</x:f>
        <x:v>0</x:v>
      </x:c>
      <x:c r="C5" s="30"/>
      <x:c r="D5" s="30" t="str">
        <x:v>MVP tasks done</x:v>
      </x:c>
      <x:c r="E5" s="30" t="n">
        <x:f>COUNTIF('MVP Execution'!$L$2:$L$17,"☑")</x:f>
        <x:v>0</x:v>
      </x:c>
      <x:c r="F5" s="30"/>
      <x:c r="G5" s="40" t="str">
        <x:v>Khải</x:v>
      </x:c>
      <x:c r="H5" s="30" t="n">
        <x:f>COUNTIF('Feature Progress'!$F$2:$F$423,G5)</x:f>
        <x:v>103</x:v>
      </x:c>
      <x:c r="I5" s="30" t="n">
        <x:f>COUNTIFS('Feature Progress'!$F$2:$F$423,G5,'Feature Progress'!$J$2:$J$423,"☑")</x:f>
        <x:v>0</x:v>
      </x:c>
      <x:c r="J5" s="40" t="n">
        <x:f>IF(H5=0,0,I5/H5)</x:f>
        <x:v>0</x:v>
      </x:c>
      <x:c r="K5" s="40" t="n">
        <x:f>IF(H5=0,0,SUMIF('Feature Progress'!$F$2:$F$423,G5,'Feature Progress'!$L$2:$L$423)/H5)</x:f>
        <x:v>0</x:v>
      </x:c>
      <x:c r="L5" s="30"/>
      <x:c r="M5" s="30" t="str">
        <x:v>2</x:v>
      </x:c>
      <x:c r="N5" s="30" t="str">
        <x:v>Status</x:v>
      </x:c>
      <x:c r="O5" s="30" t="str">
        <x:v>Use Chưa bắt đầu / Đang làm / Blocked / Done</x:v>
      </x:c>
      <x:c r="P5" s="30"/>
      <x:c r="Q5" s="30"/>
    </x:row>
    <x:row r="6">
      <x:c r="A6" s="30" t="str">
        <x:v>In progress</x:v>
      </x:c>
      <x:c r="B6" s="30" t="n">
        <x:f>COUNTIF('Feature Progress'!$K$2:$K$423,"Đang làm")</x:f>
        <x:v>0</x:v>
      </x:c>
      <x:c r="C6" s="30"/>
      <x:c r="D6" s="30" t="str">
        <x:v>MVP task completion</x:v>
      </x:c>
      <x:c r="E6" s="40" t="n">
        <x:f>IF(E4=0,0,E5/E4)</x:f>
        <x:v>0</x:v>
      </x:c>
      <x:c r="F6" s="30"/>
      <x:c r="G6" s="40" t="str">
        <x:v>Kiên</x:v>
      </x:c>
      <x:c r="H6" s="30" t="n">
        <x:f>COUNTIF('Feature Progress'!$F$2:$F$423,G6)</x:f>
        <x:v>109</x:v>
      </x:c>
      <x:c r="I6" s="30" t="n">
        <x:f>COUNTIFS('Feature Progress'!$F$2:$F$423,G6,'Feature Progress'!$J$2:$J$423,"☑")</x:f>
        <x:v>0</x:v>
      </x:c>
      <x:c r="J6" s="40" t="n">
        <x:f>IF(H6=0,0,I6/H6)</x:f>
        <x:v>0</x:v>
      </x:c>
      <x:c r="K6" s="40" t="n">
        <x:f>IF(H6=0,0,SUMIF('Feature Progress'!$F$2:$F$423,G6,'Feature Progress'!$L$2:$L$423)/H6)</x:f>
        <x:v>0</x:v>
      </x:c>
      <x:c r="L6" s="30"/>
      <x:c r="M6" s="30" t="str">
        <x:v>3</x:v>
      </x:c>
      <x:c r="N6" s="30" t="str">
        <x:v>Evidence</x:v>
      </x:c>
      <x:c r="O6" s="30" t="str">
        <x:v>Paste PR/commit/demo link at feature level</x:v>
      </x:c>
      <x:c r="P6" s="30"/>
      <x:c r="Q6" s="30"/>
    </x:row>
    <x:row r="7">
      <x:c r="A7" s="30" t="str">
        <x:v>Blocked</x:v>
      </x:c>
      <x:c r="B7" s="30" t="n">
        <x:f>COUNTIF('Feature Progress'!$K$2:$K$423,"Blocked")</x:f>
        <x:v>0</x:v>
      </x:c>
      <x:c r="C7" s="30"/>
      <x:c r="D7" s="30" t="str">
        <x:v>Feature freeze</x:v>
      </x:c>
      <x:c r="E7" s="32" t="n">
        <x:v>46321</x:v>
      </x:c>
      <x:c r="F7" s="30"/>
      <x:c r="G7" s="40" t="str">
        <x:v>Thắng</x:v>
      </x:c>
      <x:c r="H7" s="30" t="n">
        <x:f>COUNTIF('Feature Progress'!$F$2:$F$423,G7)</x:f>
        <x:v>107</x:v>
      </x:c>
      <x:c r="I7" s="30" t="n">
        <x:f>COUNTIFS('Feature Progress'!$F$2:$F$423,G7,'Feature Progress'!$J$2:$J$423,"☑")</x:f>
        <x:v>0</x:v>
      </x:c>
      <x:c r="J7" s="40" t="n">
        <x:f>IF(H7=0,0,I7/H7)</x:f>
        <x:v>0</x:v>
      </x:c>
      <x:c r="K7" s="40" t="n">
        <x:f>IF(H7=0,0,SUMIF('Feature Progress'!$F$2:$F$423,G7,'Feature Progress'!$L$2:$L$423)/H7)</x:f>
        <x:v>0</x:v>
      </x:c>
      <x:c r="L7" s="30"/>
      <x:c r="M7" s="30" t="str">
        <x:v>4</x:v>
      </x:c>
      <x:c r="N7" s="30" t="str">
        <x:v>WP Progress</x:v>
      </x:c>
      <x:c r="O7" s="30" t="str">
        <x:v>Aggregates automatically from feature rows</x:v>
      </x:c>
      <x:c r="P7" s="30"/>
      <x:c r="Q7" s="30"/>
    </x:row>
    <x:row r="8">
      <x:c r="A8" s="30" t="str">
        <x:v>Strict completion</x:v>
      </x:c>
      <x:c r="B8" s="40" t="n">
        <x:f>IF(B4=0,0,B5/B4)</x:f>
        <x:v>0</x:v>
      </x:c>
      <x:c r="C8" s="30"/>
      <x:c r="D8" s="30" t="str">
        <x:v>MVP release</x:v>
      </x:c>
      <x:c r="E8" s="32" t="n">
        <x:v>46325</x:v>
      </x:c>
      <x:c r="F8" s="30"/>
      <x:c r="G8" s="30"/>
      <x:c r="H8" s="30"/>
      <x:c r="I8" s="30"/>
      <x:c r="J8" s="30"/>
      <x:c r="K8" s="30"/>
      <x:c r="L8" s="30"/>
      <x:c r="M8" s="30" t="str">
        <x:v>5</x:v>
      </x:c>
      <x:c r="N8" s="30" t="str">
        <x:v>Overall</x:v>
      </x:c>
      <x:c r="O8" s="30" t="str">
        <x:v>Strict completion = Done / 422</x:v>
      </x:c>
      <x:c r="P8" s="30"/>
      <x:c r="Q8" s="30"/>
    </x:row>
    <x:row r="9">
      <x:c r="A9" s="30" t="str">
        <x:v>Weighted progress</x:v>
      </x:c>
      <x:c r="B9" s="40" t="n">
        <x:f>IF(B4=0,0,SUM('Feature Progress'!$L$2:$L$423)/B4)</x:f>
        <x:v>0</x:v>
      </x:c>
      <x:c r="C9" s="30"/>
      <x:c r="D9" s="30" t="str">
        <x:v>Target</x:v>
      </x:c>
      <x:c r="E9" s="30" t="str">
        <x:v>M01–M14 basic demo capability</x:v>
      </x:c>
      <x:c r="F9" s="30"/>
      <x:c r="G9" s="30"/>
      <x:c r="H9" s="30"/>
      <x:c r="I9" s="30"/>
      <x:c r="J9" s="30"/>
      <x:c r="K9" s="30"/>
      <x:c r="L9" s="30"/>
      <x:c r="M9" s="30" t="str">
        <x:v>6</x:v>
      </x:c>
      <x:c r="N9" s="30" t="str">
        <x:v>Weighted</x:v>
      </x:c>
      <x:c r="O9" s="30" t="str">
        <x:v>Status-based trend only; strict completion remains the main KPI</x:v>
      </x:c>
      <x:c r="P9" s="30"/>
      <x:c r="Q9" s="30"/>
    </x:row>
    <x:row r="10">
      <x:c r="A10" s="30" t="str">
        <x:v>Core features (M01–M14)</x:v>
      </x:c>
      <x:c r="B10" s="30" t="n">
        <x:f>COUNTIF('Feature Progress'!$A$2:$A$423,"&lt;&gt;FUTURE")</x:f>
        <x:v>389</x:v>
      </x:c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</x:row>
    <x:row r="11">
      <x:c r="A11" s="30" t="str">
        <x:v>Future features</x:v>
      </x:c>
      <x:c r="B11" s="30" t="n">
        <x:f>COUNTIF('Feature Progress'!$A$2:$A$423,"FUTURE")</x:f>
        <x:v>33</x:v>
      </x:c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</x:row>
    <x:row r="14">
      <x:c r="A14" s="39" t="str">
        <x:v>Priority</x:v>
      </x:c>
      <x:c r="B14" s="39" t="str">
        <x:v>Total</x:v>
      </x:c>
      <x:c r="C14" s="39" t="str">
        <x:v>Done</x:v>
      </x:c>
      <x:c r="D14" s="39" t="str">
        <x:v>Completion</x:v>
      </x:c>
      <x:c r="E14" s="39" t="str">
        <x:v>Weighted Progress</x:v>
      </x:c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</x:row>
    <x:row r="15">
      <x:c r="A15" s="30" t="str">
        <x:v>P0</x:v>
      </x:c>
      <x:c r="B15" s="30" t="n">
        <x:f>COUNTIF('Feature Progress'!$C$2:$C$423,A15)</x:f>
        <x:v>164</x:v>
      </x:c>
      <x:c r="C15" s="30" t="n">
        <x:f>COUNTIFS('Feature Progress'!$C$2:$C$423,A15,'Feature Progress'!$J$2:$J$423,"☑")</x:f>
        <x:v>0</x:v>
      </x:c>
      <x:c r="D15" s="40" t="n">
        <x:f>IF(B15=0,0,C15/B15)</x:f>
        <x:v>0</x:v>
      </x:c>
      <x:c r="E15" s="40" t="n">
        <x:f>IF(B15=0,0,SUMIF('Feature Progress'!$C$2:$C$423,A15,'Feature Progress'!$L$2:$L$423)/B15)</x:f>
        <x:v>0</x:v>
      </x:c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</x:row>
    <x:row r="16">
      <x:c r="A16" s="30" t="str">
        <x:v>P1</x:v>
      </x:c>
      <x:c r="B16" s="30" t="n">
        <x:f>COUNTIF('Feature Progress'!$C$2:$C$423,A16)</x:f>
        <x:v>135</x:v>
      </x:c>
      <x:c r="C16" s="30" t="n">
        <x:f>COUNTIFS('Feature Progress'!$C$2:$C$423,A16,'Feature Progress'!$J$2:$J$423,"☑")</x:f>
        <x:v>0</x:v>
      </x:c>
      <x:c r="D16" s="40" t="n">
        <x:f>IF(B16=0,0,C16/B16)</x:f>
        <x:v>0</x:v>
      </x:c>
      <x:c r="E16" s="40" t="n">
        <x:f>IF(B16=0,0,SUMIF('Feature Progress'!$C$2:$C$423,A16,'Feature Progress'!$L$2:$L$423)/B16)</x:f>
        <x:v>0</x:v>
      </x:c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</x:row>
    <x:row r="17">
      <x:c r="A17" s="30" t="str">
        <x:v>P2</x:v>
      </x:c>
      <x:c r="B17" s="30" t="n">
        <x:f>COUNTIF('Feature Progress'!$C$2:$C$423,A17)</x:f>
        <x:v>123</x:v>
      </x:c>
      <x:c r="C17" s="30" t="n">
        <x:f>COUNTIFS('Feature Progress'!$C$2:$C$423,A17,'Feature Progress'!$J$2:$J$423,"☑")</x:f>
        <x:v>0</x:v>
      </x:c>
      <x:c r="D17" s="40" t="n">
        <x:f>IF(B17=0,0,C17/B17)</x:f>
        <x:v>0</x:v>
      </x:c>
      <x:c r="E17" s="40" t="n">
        <x:f>IF(B17=0,0,SUMIF('Feature Progress'!$C$2:$C$423,A17,'Feature Progress'!$L$2:$L$423)/B17)</x:f>
        <x:v>0</x:v>
      </x:c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</x:row>
    <x:row r="21">
      <x:c r="A21" s="39" t="str">
        <x:v>Module</x:v>
      </x:c>
      <x:c r="B21" s="39" t="str">
        <x:v>Total</x:v>
      </x:c>
      <x:c r="C21" s="39" t="str">
        <x:v>Done</x:v>
      </x:c>
      <x:c r="D21" s="39" t="str">
        <x:v>In Progress</x:v>
      </x:c>
      <x:c r="E21" s="39" t="str">
        <x:v>Completion</x:v>
      </x:c>
      <x:c r="F21" s="39" t="str">
        <x:v>Weighted Progress</x:v>
      </x:c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</x:row>
    <x:row r="22">
      <x:c r="A22" s="30" t="str">
        <x:v>M01</x:v>
      </x:c>
      <x:c r="B22" s="30" t="n">
        <x:f>COUNTIF('Feature Progress'!$A$2:$A$423,A22)</x:f>
        <x:v>41</x:v>
      </x:c>
      <x:c r="C22" s="30" t="n">
        <x:f>COUNTIFS('Feature Progress'!$A$2:$A$423,A22,'Feature Progress'!$J$2:$J$423,"☑")</x:f>
        <x:v>0</x:v>
      </x:c>
      <x:c r="D22" s="30" t="n">
        <x:f>COUNTIFS('Feature Progress'!$A$2:$A$423,A22,'Feature Progress'!$K$2:$K$423,"Đang làm")</x:f>
        <x:v>0</x:v>
      </x:c>
      <x:c r="E22" s="40" t="n">
        <x:f>IF(B22=0,0,C22/B22)</x:f>
        <x:v>0</x:v>
      </x:c>
      <x:c r="F22" s="40" t="n">
        <x:f>IF(B22=0,0,SUMIF('Feature Progress'!$A$2:$A$423,A22,'Feature Progress'!$L$2:$L$423)/B22)</x:f>
        <x:v>0</x:v>
      </x:c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</x:row>
    <x:row r="23">
      <x:c r="A23" s="30" t="str">
        <x:v>M02</x:v>
      </x:c>
      <x:c r="B23" s="30" t="n">
        <x:f>COUNTIF('Feature Progress'!$A$2:$A$423,A23)</x:f>
        <x:v>56</x:v>
      </x:c>
      <x:c r="C23" s="30" t="n">
        <x:f>COUNTIFS('Feature Progress'!$A$2:$A$423,A23,'Feature Progress'!$J$2:$J$423,"☑")</x:f>
        <x:v>0</x:v>
      </x:c>
      <x:c r="D23" s="30" t="n">
        <x:f>COUNTIFS('Feature Progress'!$A$2:$A$423,A23,'Feature Progress'!$K$2:$K$423,"Đang làm")</x:f>
        <x:v>0</x:v>
      </x:c>
      <x:c r="E23" s="40" t="n">
        <x:f>IF(B23=0,0,C23/B23)</x:f>
        <x:v>0</x:v>
      </x:c>
      <x:c r="F23" s="40" t="n">
        <x:f>IF(B23=0,0,SUMIF('Feature Progress'!$A$2:$A$423,A23,'Feature Progress'!$L$2:$L$423)/B23)</x:f>
        <x:v>0</x:v>
      </x:c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</x:row>
    <x:row r="24">
      <x:c r="A24" s="30" t="str">
        <x:v>M03</x:v>
      </x:c>
      <x:c r="B24" s="30" t="n">
        <x:f>COUNTIF('Feature Progress'!$A$2:$A$423,A24)</x:f>
        <x:v>48</x:v>
      </x:c>
      <x:c r="C24" s="30" t="n">
        <x:f>COUNTIFS('Feature Progress'!$A$2:$A$423,A24,'Feature Progress'!$J$2:$J$423,"☑")</x:f>
        <x:v>0</x:v>
      </x:c>
      <x:c r="D24" s="30" t="n">
        <x:f>COUNTIFS('Feature Progress'!$A$2:$A$423,A24,'Feature Progress'!$K$2:$K$423,"Đang làm")</x:f>
        <x:v>0</x:v>
      </x:c>
      <x:c r="E24" s="40" t="n">
        <x:f>IF(B24=0,0,C24/B24)</x:f>
        <x:v>0</x:v>
      </x:c>
      <x:c r="F24" s="40" t="n">
        <x:f>IF(B24=0,0,SUMIF('Feature Progress'!$A$2:$A$423,A24,'Feature Progress'!$L$2:$L$423)/B24)</x:f>
        <x:v>0</x:v>
      </x:c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</x:row>
    <x:row r="25">
      <x:c r="A25" s="30" t="str">
        <x:v>M04</x:v>
      </x:c>
      <x:c r="B25" s="30" t="n">
        <x:f>COUNTIF('Feature Progress'!$A$2:$A$423,A25)</x:f>
        <x:v>18</x:v>
      </x:c>
      <x:c r="C25" s="30" t="n">
        <x:f>COUNTIFS('Feature Progress'!$A$2:$A$423,A25,'Feature Progress'!$J$2:$J$423,"☑")</x:f>
        <x:v>0</x:v>
      </x:c>
      <x:c r="D25" s="30" t="n">
        <x:f>COUNTIFS('Feature Progress'!$A$2:$A$423,A25,'Feature Progress'!$K$2:$K$423,"Đang làm")</x:f>
        <x:v>0</x:v>
      </x:c>
      <x:c r="E25" s="40" t="n">
        <x:f>IF(B25=0,0,C25/B25)</x:f>
        <x:v>0</x:v>
      </x:c>
      <x:c r="F25" s="40" t="n">
        <x:f>IF(B25=0,0,SUMIF('Feature Progress'!$A$2:$A$423,A25,'Feature Progress'!$L$2:$L$423)/B25)</x:f>
        <x:v>0</x:v>
      </x:c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</x:row>
    <x:row r="26">
      <x:c r="A26" s="30" t="str">
        <x:v>M05</x:v>
      </x:c>
      <x:c r="B26" s="30" t="n">
        <x:f>COUNTIF('Feature Progress'!$A$2:$A$423,A26)</x:f>
        <x:v>10</x:v>
      </x:c>
      <x:c r="C26" s="30" t="n">
        <x:f>COUNTIFS('Feature Progress'!$A$2:$A$423,A26,'Feature Progress'!$J$2:$J$423,"☑")</x:f>
        <x:v>0</x:v>
      </x:c>
      <x:c r="D26" s="30" t="n">
        <x:f>COUNTIFS('Feature Progress'!$A$2:$A$423,A26,'Feature Progress'!$K$2:$K$423,"Đang làm")</x:f>
        <x:v>0</x:v>
      </x:c>
      <x:c r="E26" s="40" t="n">
        <x:f>IF(B26=0,0,C26/B26)</x:f>
        <x:v>0</x:v>
      </x:c>
      <x:c r="F26" s="40" t="n">
        <x:f>IF(B26=0,0,SUMIF('Feature Progress'!$A$2:$A$423,A26,'Feature Progress'!$L$2:$L$423)/B26)</x:f>
        <x:v>0</x:v>
      </x:c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</x:row>
    <x:row r="27">
      <x:c r="A27" s="30" t="str">
        <x:v>M06</x:v>
      </x:c>
      <x:c r="B27" s="30" t="n">
        <x:f>COUNTIF('Feature Progress'!$A$2:$A$423,A27)</x:f>
        <x:v>21</x:v>
      </x:c>
      <x:c r="C27" s="30" t="n">
        <x:f>COUNTIFS('Feature Progress'!$A$2:$A$423,A27,'Feature Progress'!$J$2:$J$423,"☑")</x:f>
        <x:v>0</x:v>
      </x:c>
      <x:c r="D27" s="30" t="n">
        <x:f>COUNTIFS('Feature Progress'!$A$2:$A$423,A27,'Feature Progress'!$K$2:$K$423,"Đang làm")</x:f>
        <x:v>0</x:v>
      </x:c>
      <x:c r="E27" s="40" t="n">
        <x:f>IF(B27=0,0,C27/B27)</x:f>
        <x:v>0</x:v>
      </x:c>
      <x:c r="F27" s="40" t="n">
        <x:f>IF(B27=0,0,SUMIF('Feature Progress'!$A$2:$A$423,A27,'Feature Progress'!$L$2:$L$423)/B27)</x:f>
        <x:v>0</x:v>
      </x:c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</x:row>
    <x:row r="28">
      <x:c r="A28" s="30" t="str">
        <x:v>M07</x:v>
      </x:c>
      <x:c r="B28" s="30" t="n">
        <x:f>COUNTIF('Feature Progress'!$A$2:$A$423,A28)</x:f>
        <x:v>26</x:v>
      </x:c>
      <x:c r="C28" s="30" t="n">
        <x:f>COUNTIFS('Feature Progress'!$A$2:$A$423,A28,'Feature Progress'!$J$2:$J$423,"☑")</x:f>
        <x:v>0</x:v>
      </x:c>
      <x:c r="D28" s="30" t="n">
        <x:f>COUNTIFS('Feature Progress'!$A$2:$A$423,A28,'Feature Progress'!$K$2:$K$423,"Đang làm")</x:f>
        <x:v>0</x:v>
      </x:c>
      <x:c r="E28" s="40" t="n">
        <x:f>IF(B28=0,0,C28/B28)</x:f>
        <x:v>0</x:v>
      </x:c>
      <x:c r="F28" s="40" t="n">
        <x:f>IF(B28=0,0,SUMIF('Feature Progress'!$A$2:$A$423,A28,'Feature Progress'!$L$2:$L$423)/B28)</x:f>
        <x:v>0</x:v>
      </x:c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</x:row>
    <x:row r="29">
      <x:c r="A29" s="30" t="str">
        <x:v>M08</x:v>
      </x:c>
      <x:c r="B29" s="30" t="n">
        <x:f>COUNTIF('Feature Progress'!$A$2:$A$423,A29)</x:f>
        <x:v>27</x:v>
      </x:c>
      <x:c r="C29" s="30" t="n">
        <x:f>COUNTIFS('Feature Progress'!$A$2:$A$423,A29,'Feature Progress'!$J$2:$J$423,"☑")</x:f>
        <x:v>0</x:v>
      </x:c>
      <x:c r="D29" s="30" t="n">
        <x:f>COUNTIFS('Feature Progress'!$A$2:$A$423,A29,'Feature Progress'!$K$2:$K$423,"Đang làm")</x:f>
        <x:v>0</x:v>
      </x:c>
      <x:c r="E29" s="40" t="n">
        <x:f>IF(B29=0,0,C29/B29)</x:f>
        <x:v>0</x:v>
      </x:c>
      <x:c r="F29" s="40" t="n">
        <x:f>IF(B29=0,0,SUMIF('Feature Progress'!$A$2:$A$423,A29,'Feature Progress'!$L$2:$L$423)/B29)</x:f>
        <x:v>0</x:v>
      </x:c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</x:row>
    <x:row r="30">
      <x:c r="A30" s="30" t="str">
        <x:v>M09</x:v>
      </x:c>
      <x:c r="B30" s="30" t="n">
        <x:f>COUNTIF('Feature Progress'!$A$2:$A$423,A30)</x:f>
        <x:v>39</x:v>
      </x:c>
      <x:c r="C30" s="30" t="n">
        <x:f>COUNTIFS('Feature Progress'!$A$2:$A$423,A30,'Feature Progress'!$J$2:$J$423,"☑")</x:f>
        <x:v>0</x:v>
      </x:c>
      <x:c r="D30" s="30" t="n">
        <x:f>COUNTIFS('Feature Progress'!$A$2:$A$423,A30,'Feature Progress'!$K$2:$K$423,"Đang làm")</x:f>
        <x:v>0</x:v>
      </x:c>
      <x:c r="E30" s="40" t="n">
        <x:f>IF(B30=0,0,C30/B30)</x:f>
        <x:v>0</x:v>
      </x:c>
      <x:c r="F30" s="40" t="n">
        <x:f>IF(B30=0,0,SUMIF('Feature Progress'!$A$2:$A$423,A30,'Feature Progress'!$L$2:$L$423)/B30)</x:f>
        <x:v>0</x:v>
      </x:c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</x:row>
    <x:row r="31">
      <x:c r="A31" s="30" t="str">
        <x:v>M10</x:v>
      </x:c>
      <x:c r="B31" s="30" t="n">
        <x:f>COUNTIF('Feature Progress'!$A$2:$A$423,A31)</x:f>
        <x:v>18</x:v>
      </x:c>
      <x:c r="C31" s="30" t="n">
        <x:f>COUNTIFS('Feature Progress'!$A$2:$A$423,A31,'Feature Progress'!$J$2:$J$423,"☑")</x:f>
        <x:v>0</x:v>
      </x:c>
      <x:c r="D31" s="30" t="n">
        <x:f>COUNTIFS('Feature Progress'!$A$2:$A$423,A31,'Feature Progress'!$K$2:$K$423,"Đang làm")</x:f>
        <x:v>0</x:v>
      </x:c>
      <x:c r="E31" s="40" t="n">
        <x:f>IF(B31=0,0,C31/B31)</x:f>
        <x:v>0</x:v>
      </x:c>
      <x:c r="F31" s="40" t="n">
        <x:f>IF(B31=0,0,SUMIF('Feature Progress'!$A$2:$A$423,A31,'Feature Progress'!$L$2:$L$423)/B31)</x:f>
        <x:v>0</x:v>
      </x:c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</x:row>
    <x:row r="32">
      <x:c r="A32" s="30" t="str">
        <x:v>M11</x:v>
      </x:c>
      <x:c r="B32" s="30" t="n">
        <x:f>COUNTIF('Feature Progress'!$A$2:$A$423,A32)</x:f>
        <x:v>20</x:v>
      </x:c>
      <x:c r="C32" s="30" t="n">
        <x:f>COUNTIFS('Feature Progress'!$A$2:$A$423,A32,'Feature Progress'!$J$2:$J$423,"☑")</x:f>
        <x:v>0</x:v>
      </x:c>
      <x:c r="D32" s="30" t="n">
        <x:f>COUNTIFS('Feature Progress'!$A$2:$A$423,A32,'Feature Progress'!$K$2:$K$423,"Đang làm")</x:f>
        <x:v>0</x:v>
      </x:c>
      <x:c r="E32" s="40" t="n">
        <x:f>IF(B32=0,0,C32/B32)</x:f>
        <x:v>0</x:v>
      </x:c>
      <x:c r="F32" s="40" t="n">
        <x:f>IF(B32=0,0,SUMIF('Feature Progress'!$A$2:$A$423,A32,'Feature Progress'!$L$2:$L$423)/B32)</x:f>
        <x:v>0</x:v>
      </x:c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</x:row>
    <x:row r="33">
      <x:c r="A33" s="30" t="str">
        <x:v>M12</x:v>
      </x:c>
      <x:c r="B33" s="30" t="n">
        <x:f>COUNTIF('Feature Progress'!$A$2:$A$423,A33)</x:f>
        <x:v>19</x:v>
      </x:c>
      <x:c r="C33" s="30" t="n">
        <x:f>COUNTIFS('Feature Progress'!$A$2:$A$423,A33,'Feature Progress'!$J$2:$J$423,"☑")</x:f>
        <x:v>0</x:v>
      </x:c>
      <x:c r="D33" s="30" t="n">
        <x:f>COUNTIFS('Feature Progress'!$A$2:$A$423,A33,'Feature Progress'!$K$2:$K$423,"Đang làm")</x:f>
        <x:v>0</x:v>
      </x:c>
      <x:c r="E33" s="40" t="n">
        <x:f>IF(B33=0,0,C33/B33)</x:f>
        <x:v>0</x:v>
      </x:c>
      <x:c r="F33" s="40" t="n">
        <x:f>IF(B33=0,0,SUMIF('Feature Progress'!$A$2:$A$423,A33,'Feature Progress'!$L$2:$L$423)/B33)</x:f>
        <x:v>0</x:v>
      </x:c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</x:row>
    <x:row r="34">
      <x:c r="A34" s="30" t="str">
        <x:v>M13</x:v>
      </x:c>
      <x:c r="B34" s="30" t="n">
        <x:f>COUNTIF('Feature Progress'!$A$2:$A$423,A34)</x:f>
        <x:v>35</x:v>
      </x:c>
      <x:c r="C34" s="30" t="n">
        <x:f>COUNTIFS('Feature Progress'!$A$2:$A$423,A34,'Feature Progress'!$J$2:$J$423,"☑")</x:f>
        <x:v>0</x:v>
      </x:c>
      <x:c r="D34" s="30" t="n">
        <x:f>COUNTIFS('Feature Progress'!$A$2:$A$423,A34,'Feature Progress'!$K$2:$K$423,"Đang làm")</x:f>
        <x:v>0</x:v>
      </x:c>
      <x:c r="E34" s="40" t="n">
        <x:f>IF(B34=0,0,C34/B34)</x:f>
        <x:v>0</x:v>
      </x:c>
      <x:c r="F34" s="40" t="n">
        <x:f>IF(B34=0,0,SUMIF('Feature Progress'!$A$2:$A$423,A34,'Feature Progress'!$L$2:$L$423)/B34)</x:f>
        <x:v>0</x:v>
      </x:c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</x:row>
    <x:row r="35">
      <x:c r="A35" s="30" t="str">
        <x:v>M14</x:v>
      </x:c>
      <x:c r="B35" s="30" t="n">
        <x:f>COUNTIF('Feature Progress'!$A$2:$A$423,A35)</x:f>
        <x:v>11</x:v>
      </x:c>
      <x:c r="C35" s="30" t="n">
        <x:f>COUNTIFS('Feature Progress'!$A$2:$A$423,A35,'Feature Progress'!$J$2:$J$423,"☑")</x:f>
        <x:v>0</x:v>
      </x:c>
      <x:c r="D35" s="30" t="n">
        <x:f>COUNTIFS('Feature Progress'!$A$2:$A$423,A35,'Feature Progress'!$K$2:$K$423,"Đang làm")</x:f>
        <x:v>0</x:v>
      </x:c>
      <x:c r="E35" s="40" t="n">
        <x:f>IF(B35=0,0,C35/B35)</x:f>
        <x:v>0</x:v>
      </x:c>
      <x:c r="F35" s="40" t="n">
        <x:f>IF(B35=0,0,SUMIF('Feature Progress'!$A$2:$A$423,A35,'Feature Progress'!$L$2:$L$423)/B35)</x:f>
        <x:v>0</x:v>
      </x:c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</x:row>
    <x:row r="36">
      <x:c r="A36" s="30" t="str">
        <x:v>FUTURE</x:v>
      </x:c>
      <x:c r="B36" s="30" t="n">
        <x:f>COUNTIF('Feature Progress'!$A$2:$A$423,A36)</x:f>
        <x:v>33</x:v>
      </x:c>
      <x:c r="C36" s="30" t="n">
        <x:f>COUNTIFS('Feature Progress'!$A$2:$A$423,A36,'Feature Progress'!$J$2:$J$423,"☑")</x:f>
        <x:v>0</x:v>
      </x:c>
      <x:c r="D36" s="30" t="n">
        <x:f>COUNTIFS('Feature Progress'!$A$2:$A$423,A36,'Feature Progress'!$K$2:$K$423,"Đang làm")</x:f>
        <x:v>0</x:v>
      </x:c>
      <x:c r="E36" s="40" t="n">
        <x:f>IF(B36=0,0,C36/B36)</x:f>
        <x:v>0</x:v>
      </x:c>
      <x:c r="F36" s="40" t="n">
        <x:f>IF(B36=0,0,SUMIF('Feature Progress'!$A$2:$A$423,A36,'Feature Progress'!$L$2:$L$423)/B36)</x:f>
        <x:v>0</x:v>
      </x:c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</x:row>
  </x:sheetData>
  <x:mergeCells>
    <x:mergeCell ref="A1:J1"/>
    <x:mergeCell ref="A1:Q1"/>
  </x:mergeCells>
  <x:conditionalFormatting sqref="B8:B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{EF4756DE-C976-FA80-378E-7D6234EDA50D}</x14:id>
        </x:ext>
      </x:extLst>
    </x:cfRule>
  </x:conditionalFormatting>
  <x:conditionalFormatting sqref="D15:E17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{453B53DC-653C-5133-31CB-D1F85CE0EB10}</x14:id>
        </x:ext>
      </x:extLst>
    </x:cfRule>
  </x:conditionalFormatting>
  <x:conditionalFormatting sqref="J4:K7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{14062106-2D44-515D-7607-81241A6CCB58}</x14:id>
        </x:ext>
      </x:extLst>
    </x:cfRule>
  </x:conditionalFormatting>
  <x:conditionalFormatting sqref="E22:F36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{483D5425-F964-0A50-B1A0-6DC7870E5E16}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0e28d15fb20344ee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F4756DE-C976-FA80-378E-7D6234EDA50D}">
            <x14:dataBar gradient="1">
              <x14:cfvo type="min"/>
              <x14:cfvo type="max"/>
              <x14:fillColor rgb="FFA02B93"/>
            </x14:dataBar>
          </x14:cfRule>
          <xm:sqref>B8:B9</xm:sqref>
        </x14:conditionalFormatting>
        <x14:conditionalFormatting>
          <x14:cfRule type="dataBar" priority="2" id="{453B53DC-653C-5133-31CB-D1F85CE0EB10}">
            <x14:dataBar gradient="1">
              <x14:cfvo type="min"/>
              <x14:cfvo type="max"/>
              <x14:fillColor rgb="FFA02B93"/>
            </x14:dataBar>
          </x14:cfRule>
          <xm:sqref>D15:E17</xm:sqref>
        </x14:conditionalFormatting>
        <x14:conditionalFormatting>
          <x14:cfRule type="dataBar" priority="3" id="{14062106-2D44-515D-7607-81241A6CCB58}">
            <x14:dataBar gradient="1">
              <x14:cfvo type="min"/>
              <x14:cfvo type="max"/>
              <x14:fillColor rgb="FFA02B93"/>
            </x14:dataBar>
          </x14:cfRule>
          <xm:sqref>J4:K7</xm:sqref>
        </x14:conditionalFormatting>
        <x14:conditionalFormatting>
          <x14:cfRule type="dataBar" priority="4" id="{483D5425-F964-0A50-B1A0-6DC7870E5E16}">
            <x14:dataBar gradient="1">
              <x14:cfvo type="min"/>
              <x14:cfvo type="max"/>
              <x14:fillColor rgb="FFA02B93"/>
            </x14:dataBar>
          </x14:cfRule>
          <xm:sqref>E22:F36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44" hidden="0" customWidth="1"/>
    <x:col min="5" max="5" width="45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58" hidden="0" customWidth="1"/>
  </x:cols>
  <x:sheetData>
    <x:row r="1">
      <x:c r="A1" s="14" t="str">
        <x:v>WP</x:v>
      </x:c>
      <x:c r="B1" s="14" t="str">
        <x:v>Owner</x:v>
      </x:c>
      <x:c r="C1" s="14" t="str">
        <x:v>Module</x:v>
      </x:c>
      <x:c r="D1" s="14" t="str">
        <x:v>Work Package</x:v>
      </x:c>
      <x:c r="E1" s="14" t="str">
        <x:v>Feature IDs</x:v>
      </x:c>
      <x:c r="F1" s="14" t="str">
        <x:v>P0</x:v>
      </x:c>
      <x:c r="G1" s="14" t="str">
        <x:v>P1</x:v>
      </x:c>
      <x:c r="H1" s="14" t="str">
        <x:v>P2</x:v>
      </x:c>
      <x:c r="I1" s="14" t="str">
        <x:v>Workload</x:v>
      </x:c>
      <x:c r="J1" s="14" t="str">
        <x:v>Scope</x:v>
      </x:c>
      <x:c r="K1" s="14" t="str">
        <x:v>Mock / Contract Boundary</x:v>
      </x:c>
    </x:row>
    <x:row r="2">
      <x:c r="A2" s="30" t="str">
        <x:v>H-WP01</x:v>
      </x:c>
      <x:c r="B2" s="30" t="str">
        <x:v>Hùng</x:v>
      </x:c>
      <x:c r="C2" s="30" t="str">
        <x:v>M01</x:v>
      </x:c>
      <x:c r="D2" s="30" t="str">
        <x:v>Local Registration &amp; Email Verification</x:v>
      </x:c>
      <x:c r="E2" s="30" t="str">
        <x:v>M01-F001, M01-F002, M01-F003, M01-F004, M01-F005</x:v>
      </x:c>
      <x:c r="F2" s="30" t="n">
        <x:v>4</x:v>
      </x:c>
      <x:c r="G2" s="30" t="n">
        <x:v>1</x:v>
      </x:c>
      <x:c r="H2" s="30" t="n">
        <x:v>0</x:v>
      </x:c>
      <x:c r="I2" s="30" t="n">
        <x:v>14</x:v>
      </x:c>
      <x:c r="J2" s="30" t="str">
        <x:v>Core</x:v>
      </x:c>
      <x:c r="K2" s="30" t="str">
        <x:v>MockNotificationPort + FakeAccessContext/EntitlementContext; external IdP behind adapter</x:v>
      </x:c>
    </x:row>
    <x:row r="3">
      <x:c r="A3" s="30" t="str">
        <x:v>H-WP02</x:v>
      </x:c>
      <x:c r="B3" s="30" t="str">
        <x:v>Hùng</x:v>
      </x:c>
      <x:c r="C3" s="30" t="str">
        <x:v>M01</x:v>
      </x:c>
      <x:c r="D3" s="30" t="str">
        <x:v>External Identity, Guest Access &amp; Account Linking</x:v>
      </x:c>
      <x:c r="E3" s="30" t="str">
        <x:v>M01-F006, M01-F007, M01-F019, M01-F020</x:v>
      </x:c>
      <x:c r="F3" s="30" t="n">
        <x:v>3</x:v>
      </x:c>
      <x:c r="G3" s="30" t="n">
        <x:v>1</x:v>
      </x:c>
      <x:c r="H3" s="30" t="n">
        <x:v>0</x:v>
      </x:c>
      <x:c r="I3" s="30" t="n">
        <x:v>11</x:v>
      </x:c>
      <x:c r="J3" s="30" t="str">
        <x:v>Core</x:v>
      </x:c>
      <x:c r="K3" s="30" t="str">
        <x:v>MockNotificationPort + FakeAccessContext/EntitlementContext; external IdP behind adapter</x:v>
      </x:c>
    </x:row>
    <x:row r="4">
      <x:c r="A4" s="30" t="str">
        <x:v>H-WP03</x:v>
      </x:c>
      <x:c r="B4" s="30" t="str">
        <x:v>Hùng</x:v>
      </x:c>
      <x:c r="C4" s="30" t="str">
        <x:v>M01</x:v>
      </x:c>
      <x:c r="D4" s="30" t="str">
        <x:v>Session &amp; Token Security</x:v>
      </x:c>
      <x:c r="E4" s="30" t="str">
        <x:v>M01-F008, M01-F009, M01-F010, M01-F011, M01-F012, M01-F013, M01-F014, M01-F041</x:v>
      </x:c>
      <x:c r="F4" s="30" t="n">
        <x:v>6</x:v>
      </x:c>
      <x:c r="G4" s="30" t="n">
        <x:v>2</x:v>
      </x:c>
      <x:c r="H4" s="30" t="n">
        <x:v>0</x:v>
      </x:c>
      <x:c r="I4" s="30" t="n">
        <x:v>22</x:v>
      </x:c>
      <x:c r="J4" s="30" t="str">
        <x:v>Core</x:v>
      </x:c>
      <x:c r="K4" s="30" t="str">
        <x:v>MockNotificationPort + FakeAccessContext/EntitlementContext; external IdP behind adapter</x:v>
      </x:c>
    </x:row>
    <x:row r="5">
      <x:c r="A5" s="30" t="str">
        <x:v>H-WP04</x:v>
      </x:c>
      <x:c r="B5" s="30" t="str">
        <x:v>Hùng</x:v>
      </x:c>
      <x:c r="C5" s="30" t="str">
        <x:v>M01</x:v>
      </x:c>
      <x:c r="D5" s="30" t="str">
        <x:v>Profile, Password Lifecycle &amp; Privacy</x:v>
      </x:c>
      <x:c r="E5" s="30" t="str">
        <x:v>M01-F015, M01-F016, M01-F017, M01-F018, M01-F038, M01-F039, M01-F040</x:v>
      </x:c>
      <x:c r="F5" s="30" t="n">
        <x:v>3</x:v>
      </x:c>
      <x:c r="G5" s="30" t="n">
        <x:v>3</x:v>
      </x:c>
      <x:c r="H5" s="30" t="n">
        <x:v>1</x:v>
      </x:c>
      <x:c r="I5" s="30" t="n">
        <x:v>16</x:v>
      </x:c>
      <x:c r="J5" s="30" t="str">
        <x:v>Core</x:v>
      </x:c>
      <x:c r="K5" s="30" t="str">
        <x:v>MockNotificationPort + FakeAccessContext/EntitlementContext; external IdP behind adapter</x:v>
      </x:c>
    </x:row>
    <x:row r="6">
      <x:c r="A6" s="30" t="str">
        <x:v>H-WP05</x:v>
      </x:c>
      <x:c r="B6" s="30" t="str">
        <x:v>Hùng</x:v>
      </x:c>
      <x:c r="C6" s="30" t="str">
        <x:v>M01</x:v>
      </x:c>
      <x:c r="D6" s="30" t="str">
        <x:v>RBAC &amp; User Administration</x:v>
      </x:c>
      <x:c r="E6" s="30" t="str">
        <x:v>M01-F021, M01-F022, M01-F023, M01-F024, M01-F025, M01-F026, M01-F027</x:v>
      </x:c>
      <x:c r="F6" s="30" t="n">
        <x:v>3</x:v>
      </x:c>
      <x:c r="G6" s="30" t="n">
        <x:v>3</x:v>
      </x:c>
      <x:c r="H6" s="30" t="n">
        <x:v>1</x:v>
      </x:c>
      <x:c r="I6" s="30" t="n">
        <x:v>16</x:v>
      </x:c>
      <x:c r="J6" s="30" t="str">
        <x:v>Core</x:v>
      </x:c>
      <x:c r="K6" s="30" t="str">
        <x:v>MockNotificationPort + FakeAccessContext/EntitlementContext; external IdP behind adapter</x:v>
      </x:c>
    </x:row>
    <x:row r="7">
      <x:c r="A7" s="30" t="str">
        <x:v>H-WP06</x:v>
      </x:c>
      <x:c r="B7" s="30" t="str">
        <x:v>Hùng</x:v>
      </x:c>
      <x:c r="C7" s="30" t="str">
        <x:v>M01</x:v>
      </x:c>
      <x:c r="D7" s="30" t="str">
        <x:v>Advanced Account Security</x:v>
      </x:c>
      <x:c r="E7" s="30" t="str">
        <x:v>M01-F028, M01-F029, M01-F030, M01-F031, M01-F032, M01-F033</x:v>
      </x:c>
      <x:c r="F7" s="30" t="n">
        <x:v>0</x:v>
      </x:c>
      <x:c r="G7" s="30" t="n">
        <x:v>3</x:v>
      </x:c>
      <x:c r="H7" s="30" t="n">
        <x:v>3</x:v>
      </x:c>
      <x:c r="I7" s="30" t="n">
        <x:v>9</x:v>
      </x:c>
      <x:c r="J7" s="30" t="str">
        <x:v>Core</x:v>
      </x:c>
      <x:c r="K7" s="30" t="str">
        <x:v>MockNotificationPort + FakeAccessContext/EntitlementContext; external IdP behind adapter</x:v>
      </x:c>
    </x:row>
    <x:row r="8">
      <x:c r="A8" s="30" t="str">
        <x:v>H-WP07</x:v>
      </x:c>
      <x:c r="B8" s="30" t="str">
        <x:v>Hùng</x:v>
      </x:c>
      <x:c r="C8" s="30" t="str">
        <x:v>M01</x:v>
      </x:c>
      <x:c r="D8" s="30" t="str">
        <x:v>Abuse Protection &amp; Account Quota</x:v>
      </x:c>
      <x:c r="E8" s="30" t="str">
        <x:v>M01-F034, M01-F035, M01-F036, M01-F037</x:v>
      </x:c>
      <x:c r="F8" s="30" t="n">
        <x:v>3</x:v>
      </x:c>
      <x:c r="G8" s="30" t="n">
        <x:v>0</x:v>
      </x:c>
      <x:c r="H8" s="30" t="n">
        <x:v>1</x:v>
      </x:c>
      <x:c r="I8" s="30" t="n">
        <x:v>10</x:v>
      </x:c>
      <x:c r="J8" s="30" t="str">
        <x:v>Core</x:v>
      </x:c>
      <x:c r="K8" s="30" t="str">
        <x:v>MockNotificationPort + FakeAccessContext/EntitlementContext; external IdP behind adapter</x:v>
      </x:c>
    </x:row>
    <x:row r="9">
      <x:c r="A9" s="30" t="str">
        <x:v>H-WP08</x:v>
      </x:c>
      <x:c r="B9" s="30" t="str">
        <x:v>Hùng</x:v>
      </x:c>
      <x:c r="C9" s="30" t="str">
        <x:v>M10</x:v>
      </x:c>
      <x:c r="D9" s="30" t="str">
        <x:v>Notification Center &amp; User Follow-up UX</x:v>
      </x:c>
      <x:c r="E9" s="30" t="str">
        <x:v>M10-F001, M10-F002, M10-F004, M10-F005, M10-F006, M10-F007</x:v>
      </x:c>
      <x:c r="F9" s="30" t="n">
        <x:v>0</x:v>
      </x:c>
      <x:c r="G9" s="30" t="n">
        <x:v>3</x:v>
      </x:c>
      <x:c r="H9" s="30" t="n">
        <x:v>3</x:v>
      </x:c>
      <x:c r="I9" s="30" t="n">
        <x:v>9</x:v>
      </x:c>
      <x:c r="J9" s="30" t="str">
        <x:v>Core</x:v>
      </x:c>
      <x:c r="K9" s="30" t="str">
        <x:v>InMemory/Console providers + MockNotificationPort + notification event fixtures</x:v>
      </x:c>
    </x:row>
    <x:row r="10">
      <x:c r="A10" s="30" t="str">
        <x:v>H-WP09</x:v>
      </x:c>
      <x:c r="B10" s="30" t="str">
        <x:v>Hùng</x:v>
      </x:c>
      <x:c r="C10" s="30" t="str">
        <x:v>M10</x:v>
      </x:c>
      <x:c r="D10" s="30" t="str">
        <x:v>Notification Delivery Reliability</x:v>
      </x:c>
      <x:c r="E10" s="30" t="str">
        <x:v>M10-F003, M10-F009, M10-F017</x:v>
      </x:c>
      <x:c r="F10" s="30" t="n">
        <x:v>0</x:v>
      </x:c>
      <x:c r="G10" s="30" t="n">
        <x:v>3</x:v>
      </x:c>
      <x:c r="H10" s="30" t="n">
        <x:v>0</x:v>
      </x:c>
      <x:c r="I10" s="30" t="n">
        <x:v>6</x:v>
      </x:c>
      <x:c r="J10" s="30" t="str">
        <x:v>Core</x:v>
      </x:c>
      <x:c r="K10" s="30" t="str">
        <x:v>InMemory/Console providers + MockNotificationPort + notification event fixtures</x:v>
      </x:c>
    </x:row>
    <x:row r="11">
      <x:c r="A11" s="30" t="str">
        <x:v>H-WP10</x:v>
      </x:c>
      <x:c r="B11" s="30" t="str">
        <x:v>Hùng</x:v>
      </x:c>
      <x:c r="C11" s="30" t="str">
        <x:v>M10</x:v>
      </x:c>
      <x:c r="D11" s="30" t="str">
        <x:v>Notification Contract, Routing &amp; Channel Abstraction</x:v>
      </x:c>
      <x:c r="E11" s="30" t="str">
        <x:v>M10-F008, M10-F010, M10-F011, M10-F012</x:v>
      </x:c>
      <x:c r="F11" s="30" t="n">
        <x:v>3</x:v>
      </x:c>
      <x:c r="G11" s="30" t="n">
        <x:v>1</x:v>
      </x:c>
      <x:c r="H11" s="30" t="n">
        <x:v>0</x:v>
      </x:c>
      <x:c r="I11" s="30" t="n">
        <x:v>11</x:v>
      </x:c>
      <x:c r="J11" s="30" t="str">
        <x:v>Core</x:v>
      </x:c>
      <x:c r="K11" s="30" t="str">
        <x:v>InMemory/Console providers + MockNotificationPort + notification event fixtures</x:v>
      </x:c>
    </x:row>
    <x:row r="12">
      <x:c r="A12" s="30" t="str">
        <x:v>H-WP11</x:v>
      </x:c>
      <x:c r="B12" s="30" t="str">
        <x:v>Hùng</x:v>
      </x:c>
      <x:c r="C12" s="30" t="str">
        <x:v>M10</x:v>
      </x:c>
      <x:c r="D12" s="30" t="str">
        <x:v>Notification Endpoints, Preferences, Templates &amp; Secret Safety</x:v>
      </x:c>
      <x:c r="E12" s="30" t="str">
        <x:v>M10-F013, M10-F014, M10-F015, M10-F016, M10-F018</x:v>
      </x:c>
      <x:c r="F12" s="30" t="n">
        <x:v>1</x:v>
      </x:c>
      <x:c r="G12" s="30" t="n">
        <x:v>3</x:v>
      </x:c>
      <x:c r="H12" s="30" t="n">
        <x:v>1</x:v>
      </x:c>
      <x:c r="I12" s="30" t="n">
        <x:v>10</x:v>
      </x:c>
      <x:c r="J12" s="30" t="str">
        <x:v>Core</x:v>
      </x:c>
      <x:c r="K12" s="30" t="str">
        <x:v>InMemory/Console providers + MockNotificationPort + notification event fixtures</x:v>
      </x:c>
    </x:row>
    <x:row r="13">
      <x:c r="A13" s="30" t="str">
        <x:v>H-WP12</x:v>
      </x:c>
      <x:c r="B13" s="30" t="str">
        <x:v>Hùng</x:v>
      </x:c>
      <x:c r="C13" s="30" t="str">
        <x:v>M07</x:v>
      </x:c>
      <x:c r="D13" s="30" t="str">
        <x:v>Community Report Submission &amp; Evidence</x:v>
      </x:c>
      <x:c r="E13" s="30" t="str">
        <x:v>M07-F001, M07-F002, M07-F003, M07-F004, M07-F005, M07-F006, M07-F007, M07-F008</x:v>
      </x:c>
      <x:c r="F13" s="30" t="n">
        <x:v>3</x:v>
      </x:c>
      <x:c r="G13" s="30" t="n">
        <x:v>3</x:v>
      </x:c>
      <x:c r="H13" s="30" t="n">
        <x:v>2</x:v>
      </x:c>
      <x:c r="I13" s="30" t="n">
        <x:v>17</x:v>
      </x:c>
      <x:c r="J13" s="30" t="str">
        <x:v>Core</x:v>
      </x:c>
      <x:c r="K13" s="30" t="str">
        <x:v>Seed report fixtures + MockThreatQuery + MockNotificationPort + InMemoryAuditPort</x:v>
      </x:c>
    </x:row>
    <x:row r="14">
      <x:c r="A14" s="30" t="str">
        <x:v>H-WP13</x:v>
      </x:c>
      <x:c r="B14" s="30" t="str">
        <x:v>Hùng</x:v>
      </x:c>
      <x:c r="C14" s="30" t="str">
        <x:v>M07</x:v>
      </x:c>
      <x:c r="D14" s="30" t="str">
        <x:v>Moderation Queue &amp; Review Workflow</x:v>
      </x:c>
      <x:c r="E14" s="30" t="str">
        <x:v>M07-F009, M07-F010, M07-F011, M07-F012, M07-F013, M07-F014, M07-F015, M07-F016, M07-F017</x:v>
      </x:c>
      <x:c r="F14" s="30" t="n">
        <x:v>4</x:v>
      </x:c>
      <x:c r="G14" s="30" t="n">
        <x:v>3</x:v>
      </x:c>
      <x:c r="H14" s="30" t="n">
        <x:v>2</x:v>
      </x:c>
      <x:c r="I14" s="30" t="n">
        <x:v>20</x:v>
      </x:c>
      <x:c r="J14" s="30" t="str">
        <x:v>Core</x:v>
      </x:c>
      <x:c r="K14" s="30" t="str">
        <x:v>Seed report fixtures + MockThreatQuery + MockNotificationPort + InMemoryAuditPort</x:v>
      </x:c>
    </x:row>
    <x:row r="15">
      <x:c r="A15" s="30" t="str">
        <x:v>H-WP14</x:v>
      </x:c>
      <x:c r="B15" s="30" t="str">
        <x:v>Hùng</x:v>
      </x:c>
      <x:c r="C15" s="30" t="str">
        <x:v>M07</x:v>
      </x:c>
      <x:c r="D15" s="30" t="str">
        <x:v>Reporter Reputation &amp; Abuse Controls</x:v>
      </x:c>
      <x:c r="E15" s="30" t="str">
        <x:v>M07-F018, M07-F019, M07-F020, M07-F021, M07-F022, M07-F023, M07-F024</x:v>
      </x:c>
      <x:c r="F15" s="30" t="n">
        <x:v>0</x:v>
      </x:c>
      <x:c r="G15" s="30" t="n">
        <x:v>3</x:v>
      </x:c>
      <x:c r="H15" s="30" t="n">
        <x:v>4</x:v>
      </x:c>
      <x:c r="I15" s="30" t="n">
        <x:v>10</x:v>
      </x:c>
      <x:c r="J15" s="30" t="str">
        <x:v>Core</x:v>
      </x:c>
      <x:c r="K15" s="30" t="str">
        <x:v>Seed report fixtures + MockThreatQuery + MockNotificationPort + InMemoryAuditPort</x:v>
      </x:c>
    </x:row>
    <x:row r="16">
      <x:c r="A16" s="30" t="str">
        <x:v>H-WP15</x:v>
      </x:c>
      <x:c r="B16" s="30" t="str">
        <x:v>Hùng</x:v>
      </x:c>
      <x:c r="C16" s="30" t="str">
        <x:v>M07</x:v>
      </x:c>
      <x:c r="D16" s="30" t="str">
        <x:v>Verified Report → Threat/Reputation Signal Bridge</x:v>
      </x:c>
      <x:c r="E16" s="30" t="str">
        <x:v>M07-F025, M07-F026</x:v>
      </x:c>
      <x:c r="F16" s="30" t="n">
        <x:v>2</x:v>
      </x:c>
      <x:c r="G16" s="30" t="n">
        <x:v>0</x:v>
      </x:c>
      <x:c r="H16" s="30" t="n">
        <x:v>0</x:v>
      </x:c>
      <x:c r="I16" s="30" t="n">
        <x:v>6</x:v>
      </x:c>
      <x:c r="J16" s="30" t="str">
        <x:v>Core</x:v>
      </x:c>
      <x:c r="K16" s="30" t="str">
        <x:v>Seed report fixtures + MockThreatQuery + MockNotificationPort + InMemoryAuditPort</x:v>
      </x:c>
    </x:row>
    <x:row r="17">
      <x:c r="A17" s="30" t="str">
        <x:v>H-WP16</x:v>
      </x:c>
      <x:c r="B17" s="30" t="str">
        <x:v>Hùng</x:v>
      </x:c>
      <x:c r="C17" s="30" t="str">
        <x:v>M14</x:v>
      </x:c>
      <x:c r="D17" s="30" t="str">
        <x:v>Security &amp; Business Audit Capture</x:v>
      </x:c>
      <x:c r="E17" s="30" t="str">
        <x:v>M14-F001, M14-F002, M14-F003, M14-F011</x:v>
      </x:c>
      <x:c r="F17" s="30" t="n">
        <x:v>4</x:v>
      </x:c>
      <x:c r="G17" s="30" t="n">
        <x:v>0</x:v>
      </x:c>
      <x:c r="H17" s="30" t="n">
        <x:v>0</x:v>
      </x:c>
      <x:c r="I17" s="30" t="n">
        <x:v>12</x:v>
      </x:c>
      <x:c r="J17" s="30" t="str">
        <x:v>Core</x:v>
      </x:c>
      <x:c r="K17" s="30" t="str">
        <x:v>InMemoryAuditPort + mock admin/security events + correlation fixtures</x:v>
      </x:c>
    </x:row>
    <x:row r="18">
      <x:c r="A18" s="30" t="str">
        <x:v>H-WP17</x:v>
      </x:c>
      <x:c r="B18" s="30" t="str">
        <x:v>Hùng</x:v>
      </x:c>
      <x:c r="C18" s="30" t="str">
        <x:v>M14</x:v>
      </x:c>
      <x:c r="D18" s="30" t="str">
        <x:v>Cross-Pipeline Correlation &amp; Failure Trace</x:v>
      </x:c>
      <x:c r="E18" s="30" t="str">
        <x:v>M14-F008, M14-F009</x:v>
      </x:c>
      <x:c r="F18" s="30" t="n">
        <x:v>1</x:v>
      </x:c>
      <x:c r="G18" s="30" t="n">
        <x:v>1</x:v>
      </x:c>
      <x:c r="H18" s="30" t="n">
        <x:v>0</x:v>
      </x:c>
      <x:c r="I18" s="30" t="n">
        <x:v>5</x:v>
      </x:c>
      <x:c r="J18" s="30" t="str">
        <x:v>Core</x:v>
      </x:c>
      <x:c r="K18" s="30" t="str">
        <x:v>InMemoryAuditPort + mock admin/security events + correlation fixtures</x:v>
      </x:c>
    </x:row>
    <x:row r="19">
      <x:c r="A19" s="30" t="str">
        <x:v>H-WP18</x:v>
      </x:c>
      <x:c r="B19" s="30" t="str">
        <x:v>Hùng</x:v>
      </x:c>
      <x:c r="C19" s="30" t="str">
        <x:v>M14</x:v>
      </x:c>
      <x:c r="D19" s="30" t="str">
        <x:v>Audit Query, Operations UI &amp; Investigation</x:v>
      </x:c>
      <x:c r="E19" s="30" t="str">
        <x:v>M14-F004, M14-F005, M14-F006, M14-F007, M14-F010</x:v>
      </x:c>
      <x:c r="F19" s="30" t="n">
        <x:v>0</x:v>
      </x:c>
      <x:c r="G19" s="30" t="n">
        <x:v>3</x:v>
      </x:c>
      <x:c r="H19" s="30" t="n">
        <x:v>2</x:v>
      </x:c>
      <x:c r="I19" s="30" t="n">
        <x:v>8</x:v>
      </x:c>
      <x:c r="J19" s="30" t="str">
        <x:v>Core</x:v>
      </x:c>
      <x:c r="K19" s="30" t="str">
        <x:v>InMemoryAuditPort + mock admin/security events + correlation fixtures</x:v>
      </x:c>
    </x:row>
    <x:row r="20">
      <x:c r="A20" s="30" t="str">
        <x:v>K-WP01</x:v>
      </x:c>
      <x:c r="B20" s="30" t="str">
        <x:v>Khải</x:v>
      </x:c>
      <x:c r="C20" s="30" t="str">
        <x:v>M02</x:v>
      </x:c>
      <x:c r="D20" s="30" t="str">
        <x:v>URL Intake, Normalization, Cache &amp; Basic Signals</x:v>
      </x:c>
      <x:c r="E20" s="30" t="str">
        <x:v>M02-F001, M02-F002, M02-F003, M02-F004, M02-F005, M02-F006, M02-F007, M02-F008</x:v>
      </x:c>
      <x:c r="F20" s="30" t="n">
        <x:v>5</x:v>
      </x:c>
      <x:c r="G20" s="30" t="n">
        <x:v>2</x:v>
      </x:c>
      <x:c r="H20" s="30" t="n">
        <x:v>1</x:v>
      </x:c>
      <x:c r="I20" s="30" t="n">
        <x:v>20</x:v>
      </x:c>
      <x:c r="J20" s="30" t="str">
        <x:v>Core</x:v>
      </x:c>
      <x:c r="K20" s="30" t="str">
        <x:v>FakeMessageBus + MockThreatQuery + RiskResult/worker fixtures; no direct DB/core call from worker</x:v>
      </x:c>
    </x:row>
    <x:row r="21">
      <x:c r="A21" s="30" t="str">
        <x:v>K-WP02</x:v>
      </x:c>
      <x:c r="B21" s="30" t="str">
        <x:v>Khải</x:v>
      </x:c>
      <x:c r="C21" s="30" t="str">
        <x:v>M02</x:v>
      </x:c>
      <x:c r="D21" s="30" t="str">
        <x:v>Safe Fetch &amp; SSRF Guard</x:v>
      </x:c>
      <x:c r="E21" s="30" t="str">
        <x:v>M02-F009, M02-F010, M02-F011, M02-F012, M02-F013, M02-F014, M02-F015, M02-F016</x:v>
      </x:c>
      <x:c r="F21" s="30" t="n">
        <x:v>5</x:v>
      </x:c>
      <x:c r="G21" s="30" t="n">
        <x:v>2</x:v>
      </x:c>
      <x:c r="H21" s="30" t="n">
        <x:v>1</x:v>
      </x:c>
      <x:c r="I21" s="30" t="n">
        <x:v>20</x:v>
      </x:c>
      <x:c r="J21" s="30" t="str">
        <x:v>Core</x:v>
      </x:c>
      <x:c r="K21" s="30" t="str">
        <x:v>FakeMessageBus + MockThreatQuery + RiskResult/worker fixtures; no direct DB/core call from worker</x:v>
      </x:c>
    </x:row>
    <x:row r="22">
      <x:c r="A22" s="30" t="str">
        <x:v>K-WP03</x:v>
      </x:c>
      <x:c r="B22" s="30" t="str">
        <x:v>Khải</x:v>
      </x:c>
      <x:c r="C22" s="30" t="str">
        <x:v>M02</x:v>
      </x:c>
      <x:c r="D22" s="30" t="str">
        <x:v>Redirect Chain Analysis</x:v>
      </x:c>
      <x:c r="E22" s="30" t="str">
        <x:v>M02-F017, M02-F018, M02-F019, M02-F020, M02-F021, M02-F022, M02-F023</x:v>
      </x:c>
      <x:c r="F22" s="30" t="n">
        <x:v>2</x:v>
      </x:c>
      <x:c r="G22" s="30" t="n">
        <x:v>3</x:v>
      </x:c>
      <x:c r="H22" s="30" t="n">
        <x:v>2</x:v>
      </x:c>
      <x:c r="I22" s="30" t="n">
        <x:v>14</x:v>
      </x:c>
      <x:c r="J22" s="30" t="str">
        <x:v>Core</x:v>
      </x:c>
      <x:c r="K22" s="30" t="str">
        <x:v>FakeMessageBus + MockThreatQuery + RiskResult/worker fixtures; no direct DB/core call from worker</x:v>
      </x:c>
    </x:row>
    <x:row r="23">
      <x:c r="A23" s="30" t="str">
        <x:v>K-WP04</x:v>
      </x:c>
      <x:c r="B23" s="30" t="str">
        <x:v>Khải</x:v>
      </x:c>
      <x:c r="C23" s="30" t="str">
        <x:v>M02</x:v>
      </x:c>
      <x:c r="D23" s="30" t="str">
        <x:v>TLS, Certificate &amp; Security Header Analysis</x:v>
      </x:c>
      <x:c r="E23" s="30" t="str">
        <x:v>M02-F024, M02-F025, M02-F026, M02-F027, M02-F028, M02-F029, M02-F030</x:v>
      </x:c>
      <x:c r="F23" s="30" t="n">
        <x:v>2</x:v>
      </x:c>
      <x:c r="G23" s="30" t="n">
        <x:v>3</x:v>
      </x:c>
      <x:c r="H23" s="30" t="n">
        <x:v>2</x:v>
      </x:c>
      <x:c r="I23" s="30" t="n">
        <x:v>14</x:v>
      </x:c>
      <x:c r="J23" s="30" t="str">
        <x:v>Core</x:v>
      </x:c>
      <x:c r="K23" s="30" t="str">
        <x:v>FakeMessageBus + MockThreatQuery + RiskResult/worker fixtures; no direct DB/core call from worker</x:v>
      </x:c>
    </x:row>
    <x:row r="24">
      <x:c r="A24" s="30" t="str">
        <x:v>K-WP05</x:v>
      </x:c>
      <x:c r="B24" s="30" t="str">
        <x:v>Khải</x:v>
      </x:c>
      <x:c r="C24" s="30" t="str">
        <x:v>M02</x:v>
      </x:c>
      <x:c r="D24" s="30" t="str">
        <x:v>HTML/Form &amp; Web Content Analysis</x:v>
      </x:c>
      <x:c r="E24" s="30" t="str">
        <x:v>M02-F031, M02-F032, M02-F033, M02-F034, M02-F035, M02-F036, M02-F037, M02-F038</x:v>
      </x:c>
      <x:c r="F24" s="30" t="n">
        <x:v>3</x:v>
      </x:c>
      <x:c r="G24" s="30" t="n">
        <x:v>3</x:v>
      </x:c>
      <x:c r="H24" s="30" t="n">
        <x:v>2</x:v>
      </x:c>
      <x:c r="I24" s="30" t="n">
        <x:v>17</x:v>
      </x:c>
      <x:c r="J24" s="30" t="str">
        <x:v>Core</x:v>
      </x:c>
      <x:c r="K24" s="30" t="str">
        <x:v>FakeMessageBus + MockThreatQuery + RiskResult/worker fixtures; no direct DB/core call from worker</x:v>
      </x:c>
    </x:row>
    <x:row r="25">
      <x:c r="A25" s="30" t="str">
        <x:v>K-WP06</x:v>
      </x:c>
      <x:c r="B25" s="30" t="str">
        <x:v>Khải</x:v>
      </x:c>
      <x:c r="C25" s="30" t="str">
        <x:v>M02</x:v>
      </x:c>
      <x:c r="D25" s="30" t="str">
        <x:v>Brand Impersonation &amp; Typosquatting Detection</x:v>
      </x:c>
      <x:c r="E25" s="30" t="str">
        <x:v>M02-F039, M02-F040, M02-F041, M02-F042, M02-F043, M02-F044, M02-F045</x:v>
      </x:c>
      <x:c r="F25" s="30" t="n">
        <x:v>2</x:v>
      </x:c>
      <x:c r="G25" s="30" t="n">
        <x:v>3</x:v>
      </x:c>
      <x:c r="H25" s="30" t="n">
        <x:v>2</x:v>
      </x:c>
      <x:c r="I25" s="30" t="n">
        <x:v>14</x:v>
      </x:c>
      <x:c r="J25" s="30" t="str">
        <x:v>Core</x:v>
      </x:c>
      <x:c r="K25" s="30" t="str">
        <x:v>FakeMessageBus + MockThreatQuery + RiskResult/worker fixtures; no direct DB/core call from worker</x:v>
      </x:c>
    </x:row>
    <x:row r="26">
      <x:c r="A26" s="30" t="str">
        <x:v>K-WP07</x:v>
      </x:c>
      <x:c r="B26" s="30" t="str">
        <x:v>Khải</x:v>
      </x:c>
      <x:c r="C26" s="30" t="str">
        <x:v>M02</x:v>
      </x:c>
      <x:c r="D26" s="30" t="str">
        <x:v>Web Evidence Capture &amp; Retention</x:v>
      </x:c>
      <x:c r="E26" s="30" t="str">
        <x:v>M02-F046, M02-F047, M02-F048, M02-F049, M02-F050, M02-F051, M02-F052</x:v>
      </x:c>
      <x:c r="F26" s="30" t="n">
        <x:v>0</x:v>
      </x:c>
      <x:c r="G26" s="30" t="n">
        <x:v>4</x:v>
      </x:c>
      <x:c r="H26" s="30" t="n">
        <x:v>3</x:v>
      </x:c>
      <x:c r="I26" s="30" t="n">
        <x:v>11</x:v>
      </x:c>
      <x:c r="J26" s="30" t="str">
        <x:v>Core</x:v>
      </x:c>
      <x:c r="K26" s="30" t="str">
        <x:v>FakeMessageBus + MockThreatQuery + RiskResult/worker fixtures; no direct DB/core call from worker</x:v>
      </x:c>
    </x:row>
    <x:row r="27">
      <x:c r="A27" s="30" t="str">
        <x:v>K-WP08</x:v>
      </x:c>
      <x:c r="B27" s="30" t="str">
        <x:v>Khải</x:v>
      </x:c>
      <x:c r="C27" s="30" t="str">
        <x:v>M02</x:v>
      </x:c>
      <x:c r="D27" s="30" t="str">
        <x:v>URL Worker Contract &amp; Reputation Enrichment Boundary</x:v>
      </x:c>
      <x:c r="E27" s="30" t="str">
        <x:v>M02-F053, M02-F054, M02-F055, M02-F056</x:v>
      </x:c>
      <x:c r="F27" s="30" t="n">
        <x:v>4</x:v>
      </x:c>
      <x:c r="G27" s="30" t="n">
        <x:v>0</x:v>
      </x:c>
      <x:c r="H27" s="30" t="n">
        <x:v>0</x:v>
      </x:c>
      <x:c r="I27" s="30" t="n">
        <x:v>12</x:v>
      </x:c>
      <x:c r="J27" s="30" t="str">
        <x:v>Core</x:v>
      </x:c>
      <x:c r="K27" s="30" t="str">
        <x:v>FakeMessageBus + MockThreatQuery + RiskResult/worker fixtures; no direct DB/core call from worker</x:v>
      </x:c>
    </x:row>
    <x:row r="28">
      <x:c r="A28" s="30" t="str">
        <x:v>K-WP09</x:v>
      </x:c>
      <x:c r="B28" s="30" t="str">
        <x:v>Khải</x:v>
      </x:c>
      <x:c r="C28" s="30" t="str">
        <x:v>M13</x:v>
      </x:c>
      <x:c r="D28" s="30" t="str">
        <x:v>Data Privacy &amp; Secret Baseline</x:v>
      </x:c>
      <x:c r="E28" s="30" t="str">
        <x:v>M13-F001, M13-F002, M13-F005, M13-F035</x:v>
      </x:c>
      <x:c r="F28" s="30" t="n">
        <x:v>4</x:v>
      </x:c>
      <x:c r="G28" s="30" t="n">
        <x:v>0</x:v>
      </x:c>
      <x:c r="H28" s="30" t="n">
        <x:v>0</x:v>
      </x:c>
      <x:c r="I28" s="30" t="n">
        <x:v>12</x:v>
      </x:c>
      <x:c r="J28" s="30" t="str">
        <x:v>Core</x:v>
      </x:c>
      <x:c r="K28" s="30" t="str">
        <x:v>shared local compose + env/secret templates + CI/CD fixtures; no business logic ownership</x:v>
      </x:c>
    </x:row>
    <x:row r="29">
      <x:c r="A29" s="30" t="str">
        <x:v>K-WP10</x:v>
      </x:c>
      <x:c r="B29" s="30" t="str">
        <x:v>Khải</x:v>
      </x:c>
      <x:c r="C29" s="30" t="str">
        <x:v>M13</x:v>
      </x:c>
      <x:c r="D29" s="30" t="str">
        <x:v>Platform Runtime, Containers, Core Topology &amp; Readiness</x:v>
      </x:c>
      <x:c r="E29" s="30" t="str">
        <x:v>M13-F003, M13-F004, M13-F006, M13-F008, M13-F030, M13-F031, M13-F032, M13-F033, M13-F034</x:v>
      </x:c>
      <x:c r="F29" s="30" t="n">
        <x:v>8</x:v>
      </x:c>
      <x:c r="G29" s="30" t="n">
        <x:v>1</x:v>
      </x:c>
      <x:c r="H29" s="30" t="n">
        <x:v>0</x:v>
      </x:c>
      <x:c r="I29" s="30" t="n">
        <x:v>26</x:v>
      </x:c>
      <x:c r="J29" s="30" t="str">
        <x:v>Core</x:v>
      </x:c>
      <x:c r="K29" s="30" t="str">
        <x:v>shared local compose + env/secret templates + CI/CD fixtures; no business logic ownership</x:v>
      </x:c>
    </x:row>
    <x:row r="30">
      <x:c r="A30" s="30" t="str">
        <x:v>K-WP11</x:v>
      </x:c>
      <x:c r="B30" s="30" t="str">
        <x:v>Khải</x:v>
      </x:c>
      <x:c r="C30" s="30" t="str">
        <x:v>M13</x:v>
      </x:c>
      <x:c r="D30" s="30" t="str">
        <x:v>CI Baseline &amp; Quality Gates</x:v>
      </x:c>
      <x:c r="E30" s="30" t="str">
        <x:v>M13-F012, M13-F013, M13-F014, M13-F015, M13-F017</x:v>
      </x:c>
      <x:c r="F30" s="30" t="n">
        <x:v>2</x:v>
      </x:c>
      <x:c r="G30" s="30" t="n">
        <x:v>3</x:v>
      </x:c>
      <x:c r="H30" s="30" t="n">
        <x:v>0</x:v>
      </x:c>
      <x:c r="I30" s="30" t="n">
        <x:v>12</x:v>
      </x:c>
      <x:c r="J30" s="30" t="str">
        <x:v>Core</x:v>
      </x:c>
      <x:c r="K30" s="30" t="str">
        <x:v>shared local compose + env/secret templates + CI/CD fixtures; no business logic ownership</x:v>
      </x:c>
    </x:row>
    <x:row r="31">
      <x:c r="A31" s="30" t="str">
        <x:v>K-WP12</x:v>
      </x:c>
      <x:c r="B31" s="30" t="str">
        <x:v>Khải</x:v>
      </x:c>
      <x:c r="C31" s="30" t="str">
        <x:v>M13</x:v>
      </x:c>
      <x:c r="D31" s="30" t="str">
        <x:v>MVP CD, Migration &amp; Release Automation</x:v>
      </x:c>
      <x:c r="E31" s="30" t="str">
        <x:v>M13-F007, M13-F009, M13-F011, M13-F020</x:v>
      </x:c>
      <x:c r="F31" s="30" t="n">
        <x:v>3</x:v>
      </x:c>
      <x:c r="G31" s="30" t="n">
        <x:v>1</x:v>
      </x:c>
      <x:c r="H31" s="30" t="n">
        <x:v>0</x:v>
      </x:c>
      <x:c r="I31" s="30" t="n">
        <x:v>11</x:v>
      </x:c>
      <x:c r="J31" s="30" t="str">
        <x:v>Core</x:v>
      </x:c>
      <x:c r="K31" s="30" t="str">
        <x:v>shared local compose + env/secret templates + CI/CD fixtures; no business logic ownership</x:v>
      </x:c>
    </x:row>
    <x:row r="32">
      <x:c r="A32" s="30" t="str">
        <x:v>K-WP13</x:v>
      </x:c>
      <x:c r="B32" s="30" t="str">
        <x:v>Khải</x:v>
      </x:c>
      <x:c r="C32" s="30" t="str">
        <x:v>M13</x:v>
      </x:c>
      <x:c r="D32" s="30" t="str">
        <x:v>Data Ops, Structured Logging, Metrics &amp; Alerting</x:v>
      </x:c>
      <x:c r="E32" s="30" t="str">
        <x:v>M13-F010, M13-F016, M13-F018, M13-F019</x:v>
      </x:c>
      <x:c r="F32" s="30" t="n">
        <x:v>0</x:v>
      </x:c>
      <x:c r="G32" s="30" t="n">
        <x:v>2</x:v>
      </x:c>
      <x:c r="H32" s="30" t="n">
        <x:v>2</x:v>
      </x:c>
      <x:c r="I32" s="30" t="n">
        <x:v>6</x:v>
      </x:c>
      <x:c r="J32" s="30" t="str">
        <x:v>Core</x:v>
      </x:c>
      <x:c r="K32" s="30" t="str">
        <x:v>shared local compose + env/secret templates + CI/CD fixtures; no business logic ownership</x:v>
      </x:c>
    </x:row>
    <x:row r="33">
      <x:c r="A33" s="30" t="str">
        <x:v>K-WP14</x:v>
      </x:c>
      <x:c r="B33" s="30" t="str">
        <x:v>Khải</x:v>
      </x:c>
      <x:c r="C33" s="30" t="str">
        <x:v>M13</x:v>
      </x:c>
      <x:c r="D33" s="30" t="str">
        <x:v>Accessibility, i18n &amp; Mobile Entry Surfaces</x:v>
      </x:c>
      <x:c r="E33" s="30" t="str">
        <x:v>M13-F021, M13-F022, M13-F023, M13-F024, M13-F025, M13-F026, M13-F027, M13-F028, M13-F029</x:v>
      </x:c>
      <x:c r="F33" s="30" t="n">
        <x:v>1</x:v>
      </x:c>
      <x:c r="G33" s="30" t="n">
        <x:v>4</x:v>
      </x:c>
      <x:c r="H33" s="30" t="n">
        <x:v>4</x:v>
      </x:c>
      <x:c r="I33" s="30" t="n">
        <x:v>15</x:v>
      </x:c>
      <x:c r="J33" s="30" t="str">
        <x:v>Core</x:v>
      </x:c>
      <x:c r="K33" s="30" t="str">
        <x:v>shared local compose + env/secret templates + CI/CD fixtures; no business logic ownership</x:v>
      </x:c>
    </x:row>
    <x:row r="34">
      <x:c r="A34" s="30" t="str">
        <x:v>I-WP01</x:v>
      </x:c>
      <x:c r="B34" s="30" t="str">
        <x:v>Kiên</x:v>
      </x:c>
      <x:c r="C34" s="30" t="str">
        <x:v>M08</x:v>
      </x:c>
      <x:c r="D34" s="30" t="str">
        <x:v>Threat Feed Ingestion &amp; Dataset Lifecycle</x:v>
      </x:c>
      <x:c r="E34" s="30" t="str">
        <x:v>M08-F001, M08-F002, M08-F003, M08-F004, M08-F005, M08-F006, M08-F007</x:v>
      </x:c>
      <x:c r="F34" s="30" t="n">
        <x:v>0</x:v>
      </x:c>
      <x:c r="G34" s="30" t="n">
        <x:v>4</x:v>
      </x:c>
      <x:c r="H34" s="30" t="n">
        <x:v>3</x:v>
      </x:c>
      <x:c r="I34" s="30" t="n">
        <x:v>11</x:v>
      </x:c>
      <x:c r="J34" s="30" t="str">
        <x:v>Core</x:v>
      </x:c>
      <x:c r="K34" s="30" t="str">
        <x:v>sample threat feeds + in-memory repository/cache adapter; core-only ThreatQuery contract</x:v>
      </x:c>
    </x:row>
    <x:row r="35">
      <x:c r="A35" s="30" t="str">
        <x:v>I-WP02</x:v>
      </x:c>
      <x:c r="B35" s="30" t="str">
        <x:v>Kiên</x:v>
      </x:c>
      <x:c r="C35" s="30" t="str">
        <x:v>M08</x:v>
      </x:c>
      <x:c r="D35" s="30" t="str">
        <x:v>Whitelist / Blacklist Administration</x:v>
      </x:c>
      <x:c r="E35" s="30" t="str">
        <x:v>M08-F008, M08-F009, M08-F010, M08-F011, M08-F012, M08-F013, M08-F014, M08-F015</x:v>
      </x:c>
      <x:c r="F35" s="30" t="n">
        <x:v>2</x:v>
      </x:c>
      <x:c r="G35" s="30" t="n">
        <x:v>4</x:v>
      </x:c>
      <x:c r="H35" s="30" t="n">
        <x:v>2</x:v>
      </x:c>
      <x:c r="I35" s="30" t="n">
        <x:v>16</x:v>
      </x:c>
      <x:c r="J35" s="30" t="str">
        <x:v>Core</x:v>
      </x:c>
      <x:c r="K35" s="30" t="str">
        <x:v>sample threat feeds + in-memory repository/cache adapter; core-only ThreatQuery contract</x:v>
      </x:c>
    </x:row>
    <x:row r="36">
      <x:c r="A36" s="30" t="str">
        <x:v>I-WP03</x:v>
      </x:c>
      <x:c r="B36" s="30" t="str">
        <x:v>Kiên</x:v>
      </x:c>
      <x:c r="C36" s="30" t="str">
        <x:v>M08</x:v>
      </x:c>
      <x:c r="D36" s="30" t="str">
        <x:v>Risk Entity Registry &amp; Evidence Consolidation</x:v>
      </x:c>
      <x:c r="E36" s="30" t="str">
        <x:v>M08-F016, M08-F017, M08-F018, M08-F019, M08-F020, M08-F021, M08-F022, M08-F023, M08-F024</x:v>
      </x:c>
      <x:c r="F36" s="30" t="n">
        <x:v>3</x:v>
      </x:c>
      <x:c r="G36" s="30" t="n">
        <x:v>3</x:v>
      </x:c>
      <x:c r="H36" s="30" t="n">
        <x:v>3</x:v>
      </x:c>
      <x:c r="I36" s="30" t="n">
        <x:v>18</x:v>
      </x:c>
      <x:c r="J36" s="30" t="str">
        <x:v>Core</x:v>
      </x:c>
      <x:c r="K36" s="30" t="str">
        <x:v>sample threat feeds + in-memory repository/cache adapter; core-only ThreatQuery contract</x:v>
      </x:c>
    </x:row>
    <x:row r="37">
      <x:c r="A37" s="30" t="str">
        <x:v>I-WP04</x:v>
      </x:c>
      <x:c r="B37" s="30" t="str">
        <x:v>Kiên</x:v>
      </x:c>
      <x:c r="C37" s="30" t="str">
        <x:v>M08</x:v>
      </x:c>
      <x:c r="D37" s="30" t="str">
        <x:v>Core ThreatQuery &amp; Deferred Reputation Enrichment</x:v>
      </x:c>
      <x:c r="E37" s="30" t="str">
        <x:v>M08-F025, M08-F026, M08-F027</x:v>
      </x:c>
      <x:c r="F37" s="30" t="n">
        <x:v>3</x:v>
      </x:c>
      <x:c r="G37" s="30" t="n">
        <x:v>0</x:v>
      </x:c>
      <x:c r="H37" s="30" t="n">
        <x:v>0</x:v>
      </x:c>
      <x:c r="I37" s="30" t="n">
        <x:v>9</x:v>
      </x:c>
      <x:c r="J37" s="30" t="str">
        <x:v>Core</x:v>
      </x:c>
      <x:c r="K37" s="30" t="str">
        <x:v>sample threat feeds + in-memory repository/cache adapter; core-only ThreatQuery contract</x:v>
      </x:c>
    </x:row>
    <x:row r="38">
      <x:c r="A38" s="30" t="str">
        <x:v>I-WP05</x:v>
      </x:c>
      <x:c r="B38" s="30" t="str">
        <x:v>Kiên</x:v>
      </x:c>
      <x:c r="C38" s="30" t="str">
        <x:v>M09</x:v>
      </x:c>
      <x:c r="D38" s="30" t="str">
        <x:v>Rule Evaluation Core &amp; Result Composition</x:v>
      </x:c>
      <x:c r="E38" s="30" t="str">
        <x:v>M09-F001, M09-F002, M09-F004, M09-F005, M09-F037</x:v>
      </x:c>
      <x:c r="F38" s="30" t="n">
        <x:v>5</x:v>
      </x:c>
      <x:c r="G38" s="30" t="n">
        <x:v>0</x:v>
      </x:c>
      <x:c r="H38" s="30" t="n">
        <x:v>0</x:v>
      </x:c>
      <x:c r="I38" s="30" t="n">
        <x:v>15</x:v>
      </x:c>
      <x:c r="J38" s="30" t="str">
        <x:v>Core</x:v>
      </x:c>
      <x:c r="K38" s="30" t="str">
        <x:v>UnifiedSignalSet fixtures + deterministic policy fixtures; expose RiskEvaluationPort</x:v>
      </x:c>
    </x:row>
    <x:row r="39">
      <x:c r="A39" s="30" t="str">
        <x:v>I-WP06</x:v>
      </x:c>
      <x:c r="B39" s="30" t="str">
        <x:v>Kiên</x:v>
      </x:c>
      <x:c r="C39" s="30" t="str">
        <x:v>M09</x:v>
      </x:c>
      <x:c r="D39" s="30" t="str">
        <x:v>Risk Fusion Policy, Thresholds &amp; Missing-Signal Handling</x:v>
      </x:c>
      <x:c r="E39" s="30" t="str">
        <x:v>M09-F003, M09-F006, M09-F007, M09-F008, M09-F038, M09-F039</x:v>
      </x:c>
      <x:c r="F39" s="30" t="n">
        <x:v>3</x:v>
      </x:c>
      <x:c r="G39" s="30" t="n">
        <x:v>2</x:v>
      </x:c>
      <x:c r="H39" s="30" t="n">
        <x:v>1</x:v>
      </x:c>
      <x:c r="I39" s="30" t="n">
        <x:v>14</x:v>
      </x:c>
      <x:c r="J39" s="30" t="str">
        <x:v>Core</x:v>
      </x:c>
      <x:c r="K39" s="30" t="str">
        <x:v>UnifiedSignalSet fixtures + deterministic policy fixtures; expose RiskEvaluationPort</x:v>
      </x:c>
    </x:row>
    <x:row r="40">
      <x:c r="A40" s="30" t="str">
        <x:v>I-WP07</x:v>
      </x:c>
      <x:c r="B40" s="30" t="str">
        <x:v>Kiên</x:v>
      </x:c>
      <x:c r="C40" s="30" t="str">
        <x:v>M09</x:v>
      </x:c>
      <x:c r="D40" s="30" t="str">
        <x:v>Rule Repository &amp; Admin Management</x:v>
      </x:c>
      <x:c r="E40" s="30" t="str">
        <x:v>M09-F009, M09-F010, M09-F011, M09-F012, M09-F013, M09-F014, M09-F015, M09-F016</x:v>
      </x:c>
      <x:c r="F40" s="30" t="n">
        <x:v>2</x:v>
      </x:c>
      <x:c r="G40" s="30" t="n">
        <x:v>4</x:v>
      </x:c>
      <x:c r="H40" s="30" t="n">
        <x:v>2</x:v>
      </x:c>
      <x:c r="I40" s="30" t="n">
        <x:v>16</x:v>
      </x:c>
      <x:c r="J40" s="30" t="str">
        <x:v>Core</x:v>
      </x:c>
      <x:c r="K40" s="30" t="str">
        <x:v>UnifiedSignalSet fixtures + deterministic policy fixtures; expose RiskEvaluationPort</x:v>
      </x:c>
    </x:row>
    <x:row r="41">
      <x:c r="A41" s="30" t="str">
        <x:v>I-WP08</x:v>
      </x:c>
      <x:c r="B41" s="30" t="str">
        <x:v>Kiên</x:v>
      </x:c>
      <x:c r="C41" s="30" t="str">
        <x:v>M09</x:v>
      </x:c>
      <x:c r="D41" s="30" t="str">
        <x:v>Rule Preview, Simulation &amp; Shadow Evaluation</x:v>
      </x:c>
      <x:c r="E41" s="30" t="str">
        <x:v>M09-F017, M09-F018, M09-F019, M09-F020, M09-F021, M09-F022</x:v>
      </x:c>
      <x:c r="F41" s="30" t="n">
        <x:v>0</x:v>
      </x:c>
      <x:c r="G41" s="30" t="n">
        <x:v>3</x:v>
      </x:c>
      <x:c r="H41" s="30" t="n">
        <x:v>3</x:v>
      </x:c>
      <x:c r="I41" s="30" t="n">
        <x:v>9</x:v>
      </x:c>
      <x:c r="J41" s="30" t="str">
        <x:v>Core</x:v>
      </x:c>
      <x:c r="K41" s="30" t="str">
        <x:v>UnifiedSignalSet fixtures + deterministic policy fixtures; expose RiskEvaluationPort</x:v>
      </x:c>
    </x:row>
    <x:row r="42">
      <x:c r="A42" s="30" t="str">
        <x:v>I-WP09</x:v>
      </x:c>
      <x:c r="B42" s="30" t="str">
        <x:v>Kiên</x:v>
      </x:c>
      <x:c r="C42" s="30" t="str">
        <x:v>M09</x:v>
      </x:c>
      <x:c r="D42" s="30" t="str">
        <x:v>Rule Versioning, History &amp; Rollback</x:v>
      </x:c>
      <x:c r="E42" s="30" t="str">
        <x:v>M09-F023, M09-F024, M09-F025, M09-F026, M09-F027, M09-F028</x:v>
      </x:c>
      <x:c r="F42" s="30" t="n">
        <x:v>0</x:v>
      </x:c>
      <x:c r="G42" s="30" t="n">
        <x:v>3</x:v>
      </x:c>
      <x:c r="H42" s="30" t="n">
        <x:v>3</x:v>
      </x:c>
      <x:c r="I42" s="30" t="n">
        <x:v>9</x:v>
      </x:c>
      <x:c r="J42" s="30" t="str">
        <x:v>Core</x:v>
      </x:c>
      <x:c r="K42" s="30" t="str">
        <x:v>UnifiedSignalSet fixtures + deterministic policy fixtures; expose RiskEvaluationPort</x:v>
      </x:c>
    </x:row>
    <x:row r="43">
      <x:c r="A43" s="30" t="str">
        <x:v>I-WP10</x:v>
      </x:c>
      <x:c r="B43" s="30" t="str">
        <x:v>Kiên</x:v>
      </x:c>
      <x:c r="C43" s="30" t="str">
        <x:v>M09</x:v>
      </x:c>
      <x:c r="D43" s="30" t="str">
        <x:v>Risk &amp; Scam Operations Analytics</x:v>
      </x:c>
      <x:c r="E43" s="30" t="str">
        <x:v>M09-F029, M09-F030, M09-F031, M09-F032, M09-F033, M09-F034, M09-F035, M09-F036</x:v>
      </x:c>
      <x:c r="F43" s="30" t="n">
        <x:v>0</x:v>
      </x:c>
      <x:c r="G43" s="30" t="n">
        <x:v>5</x:v>
      </x:c>
      <x:c r="H43" s="30" t="n">
        <x:v>3</x:v>
      </x:c>
      <x:c r="I43" s="30" t="n">
        <x:v>13</x:v>
      </x:c>
      <x:c r="J43" s="30" t="str">
        <x:v>Core</x:v>
      </x:c>
      <x:c r="K43" s="30" t="str">
        <x:v>UnifiedSignalSet fixtures + deterministic policy fixtures; expose RiskEvaluationPort</x:v>
      </x:c>
    </x:row>
    <x:row r="44">
      <x:c r="A44" s="30" t="str">
        <x:v>I-WP11</x:v>
      </x:c>
      <x:c r="B44" s="30" t="str">
        <x:v>Kiên</x:v>
      </x:c>
      <x:c r="C44" s="30" t="str">
        <x:v>M12</x:v>
      </x:c>
      <x:c r="D44" s="30" t="str">
        <x:v>Request Controls, Authorization &amp; Scan Dispatch</x:v>
      </x:c>
      <x:c r="E44" s="30" t="str">
        <x:v>M12-F001, M12-F002, M12-F003, M12-F004, M12-F018, M12-F019</x:v>
      </x:c>
      <x:c r="F44" s="30" t="n">
        <x:v>5</x:v>
      </x:c>
      <x:c r="G44" s="30" t="n">
        <x:v>1</x:v>
      </x:c>
      <x:c r="H44" s="30" t="n">
        <x:v>0</x:v>
      </x:c>
      <x:c r="I44" s="30" t="n">
        <x:v>17</x:v>
      </x:c>
      <x:c r="J44" s="30" t="str">
        <x:v>Core</x:v>
      </x:c>
      <x:c r="K44" s="30" t="str">
        <x:v>FakeMessageBus + worker/AI/nested-scan/race fixtures + in-memory repositories</x:v>
      </x:c>
    </x:row>
    <x:row r="45">
      <x:c r="A45" s="30" t="str">
        <x:v>I-WP12</x:v>
      </x:c>
      <x:c r="B45" s="30" t="str">
        <x:v>Kiên</x:v>
      </x:c>
      <x:c r="C45" s="30" t="str">
        <x:v>M12</x:v>
      </x:c>
      <x:c r="D45" s="30" t="str">
        <x:v>Scan Lifecycle, Event Envelope, Retry &amp; Idempotency</x:v>
      </x:c>
      <x:c r="E45" s="30" t="str">
        <x:v>M12-F005, M12-F006, M12-F007, M12-F008, M12-F012</x:v>
      </x:c>
      <x:c r="F45" s="30" t="n">
        <x:v>5</x:v>
      </x:c>
      <x:c r="G45" s="30" t="n">
        <x:v>0</x:v>
      </x:c>
      <x:c r="H45" s="30" t="n">
        <x:v>0</x:v>
      </x:c>
      <x:c r="I45" s="30" t="n">
        <x:v>15</x:v>
      </x:c>
      <x:c r="J45" s="30" t="str">
        <x:v>Core</x:v>
      </x:c>
      <x:c r="K45" s="30" t="str">
        <x:v>FakeMessageBus + worker/AI/nested-scan/race fixtures + in-memory repositories</x:v>
      </x:c>
    </x:row>
    <x:row r="46">
      <x:c r="A46" s="30" t="str">
        <x:v>I-WP13</x:v>
      </x:c>
      <x:c r="B46" s="30" t="str">
        <x:v>Kiên</x:v>
      </x:c>
      <x:c r="C46" s="30" t="str">
        <x:v>M12</x:v>
      </x:c>
      <x:c r="D46" s="30" t="str">
        <x:v>Nested Scan Orchestration &amp; Derived Indicators</x:v>
      </x:c>
      <x:c r="E46" s="30" t="str">
        <x:v>M12-F009, M12-F010, M12-F011, M12-F017</x:v>
      </x:c>
      <x:c r="F46" s="30" t="n">
        <x:v>4</x:v>
      </x:c>
      <x:c r="G46" s="30" t="n">
        <x:v>0</x:v>
      </x:c>
      <x:c r="H46" s="30" t="n">
        <x:v>0</x:v>
      </x:c>
      <x:c r="I46" s="30" t="n">
        <x:v>12</x:v>
      </x:c>
      <x:c r="J46" s="30" t="str">
        <x:v>Core</x:v>
      </x:c>
      <x:c r="K46" s="30" t="str">
        <x:v>FakeMessageBus + worker/AI/nested-scan/race fixtures + in-memory repositories</x:v>
      </x:c>
    </x:row>
    <x:row r="47">
      <x:c r="A47" s="30" t="str">
        <x:v>I-WP14</x:v>
      </x:c>
      <x:c r="B47" s="30" t="str">
        <x:v>Kiên</x:v>
      </x:c>
      <x:c r="C47" s="30" t="str">
        <x:v>M12</x:v>
      </x:c>
      <x:c r="D47" s="30" t="str">
        <x:v>AI Task Barrier, Deadline &amp; Race Handling</x:v>
      </x:c>
      <x:c r="E47" s="30" t="str">
        <x:v>M12-F013, M12-F014, M12-F015, M12-F016</x:v>
      </x:c>
      <x:c r="F47" s="30" t="n">
        <x:v>4</x:v>
      </x:c>
      <x:c r="G47" s="30" t="n">
        <x:v>0</x:v>
      </x:c>
      <x:c r="H47" s="30" t="n">
        <x:v>0</x:v>
      </x:c>
      <x:c r="I47" s="30" t="n">
        <x:v>12</x:v>
      </x:c>
      <x:c r="J47" s="30" t="str">
        <x:v>Core</x:v>
      </x:c>
      <x:c r="K47" s="30" t="str">
        <x:v>FakeMessageBus + worker/AI/nested-scan/race fixtures + in-memory repositories</x:v>
      </x:c>
    </x:row>
    <x:row r="48">
      <x:c r="A48" s="30" t="str">
        <x:v>I-WP15</x:v>
      </x:c>
      <x:c r="B48" s="30" t="str">
        <x:v>Kiên</x:v>
      </x:c>
      <x:c r="C48" s="30" t="str">
        <x:v>M04</x:v>
      </x:c>
      <x:c r="D48" s="30" t="str">
        <x:v>Phone Reputation Check</x:v>
      </x:c>
      <x:c r="E48" s="30" t="str">
        <x:v>M04-F001, M04-F002, M04-F003, M04-F004, M04-F005, M04-F006, M04-F007, M04-F008</x:v>
      </x:c>
      <x:c r="F48" s="30" t="n">
        <x:v>3</x:v>
      </x:c>
      <x:c r="G48" s="30" t="n">
        <x:v>3</x:v>
      </x:c>
      <x:c r="H48" s="30" t="n">
        <x:v>2</x:v>
      </x:c>
      <x:c r="I48" s="30" t="n">
        <x:v>17</x:v>
      </x:c>
      <x:c r="J48" s="30" t="str">
        <x:v>Core</x:v>
      </x:c>
      <x:c r="K48" s="30" t="str">
        <x:v>MockThreatQuery + entity fixtures + fake scan-platform adapter</x:v>
      </x:c>
    </x:row>
    <x:row r="49">
      <x:c r="A49" s="30" t="str">
        <x:v>I-WP16</x:v>
      </x:c>
      <x:c r="B49" s="30" t="str">
        <x:v>Kiên</x:v>
      </x:c>
      <x:c r="C49" s="30" t="str">
        <x:v>M04</x:v>
      </x:c>
      <x:c r="D49" s="30" t="str">
        <x:v>Bank Account Reputation Check</x:v>
      </x:c>
      <x:c r="E49" s="30" t="str">
        <x:v>M04-F009, M04-F010, M04-F011, M04-F012, M04-F013, M04-F014, M04-F015, M04-F016</x:v>
      </x:c>
      <x:c r="F49" s="30" t="n">
        <x:v>3</x:v>
      </x:c>
      <x:c r="G49" s="30" t="n">
        <x:v>3</x:v>
      </x:c>
      <x:c r="H49" s="30" t="n">
        <x:v>2</x:v>
      </x:c>
      <x:c r="I49" s="30" t="n">
        <x:v>17</x:v>
      </x:c>
      <x:c r="J49" s="30" t="str">
        <x:v>Core</x:v>
      </x:c>
      <x:c r="K49" s="30" t="str">
        <x:v>MockThreatQuery + entity fixtures + fake scan-platform adapter</x:v>
      </x:c>
    </x:row>
    <x:row r="50">
      <x:c r="A50" s="30" t="str">
        <x:v>I-WP17</x:v>
      </x:c>
      <x:c r="B50" s="30" t="str">
        <x:v>Kiên</x:v>
      </x:c>
      <x:c r="C50" s="30" t="str">
        <x:v>M04</x:v>
      </x:c>
      <x:c r="D50" s="30" t="str">
        <x:v>Unified Entity Scan Contract &amp; NO_DATA Semantics</x:v>
      </x:c>
      <x:c r="E50" s="30" t="str">
        <x:v>M04-F017, M04-F018</x:v>
      </x:c>
      <x:c r="F50" s="30" t="n">
        <x:v>2</x:v>
      </x:c>
      <x:c r="G50" s="30" t="n">
        <x:v>0</x:v>
      </x:c>
      <x:c r="H50" s="30" t="n">
        <x:v>0</x:v>
      </x:c>
      <x:c r="I50" s="30" t="n">
        <x:v>6</x:v>
      </x:c>
      <x:c r="J50" s="30" t="str">
        <x:v>Core</x:v>
      </x:c>
      <x:c r="K50" s="30" t="str">
        <x:v>MockThreatQuery + entity fixtures + fake scan-platform adapter</x:v>
      </x:c>
    </x:row>
    <x:row r="51">
      <x:c r="A51" s="30" t="str">
        <x:v>T-WP01</x:v>
      </x:c>
      <x:c r="B51" s="30" t="str">
        <x:v>Thắng</x:v>
      </x:c>
      <x:c r="C51" s="30" t="str">
        <x:v>M03</x:v>
      </x:c>
      <x:c r="D51" s="30" t="str">
        <x:v>Vietnamese Text Normalization &amp; Evasion Handling</x:v>
      </x:c>
      <x:c r="E51" s="30" t="str">
        <x:v>M03-F001, M03-F002, M03-F003, M03-F004, M03-F005, M03-F006, M03-F007</x:v>
      </x:c>
      <x:c r="F51" s="30" t="n">
        <x:v>3</x:v>
      </x:c>
      <x:c r="G51" s="30" t="n">
        <x:v>2</x:v>
      </x:c>
      <x:c r="H51" s="30" t="n">
        <x:v>2</x:v>
      </x:c>
      <x:c r="I51" s="30" t="n">
        <x:v>15</x:v>
      </x:c>
      <x:c r="J51" s="30" t="str">
        <x:v>Core</x:v>
      </x:c>
      <x:c r="K51" s="30" t="str">
        <x:v>FakeMessageBus + text/AI/derived-indicator fixtures + MockRiskEvaluationPort</x:v>
      </x:c>
    </x:row>
    <x:row r="52">
      <x:c r="A52" s="30" t="str">
        <x:v>T-WP02</x:v>
      </x:c>
      <x:c r="B52" s="30" t="str">
        <x:v>Thắng</x:v>
      </x:c>
      <x:c r="C52" s="30" t="str">
        <x:v>M03</x:v>
      </x:c>
      <x:c r="D52" s="30" t="str">
        <x:v>Async Text Scan, Scam Patterns &amp; User Result UX</x:v>
      </x:c>
      <x:c r="E52" s="30" t="str">
        <x:v>M03-F008, M03-F009, M03-F010, M03-F011, M03-F012, M03-F013, M03-F014, M03-F015</x:v>
      </x:c>
      <x:c r="F52" s="30" t="n">
        <x:v>4</x:v>
      </x:c>
      <x:c r="G52" s="30" t="n">
        <x:v>2</x:v>
      </x:c>
      <x:c r="H52" s="30" t="n">
        <x:v>2</x:v>
      </x:c>
      <x:c r="I52" s="30" t="n">
        <x:v>18</x:v>
      </x:c>
      <x:c r="J52" s="30" t="str">
        <x:v>Core</x:v>
      </x:c>
      <x:c r="K52" s="30" t="str">
        <x:v>FakeMessageBus + text/AI/derived-indicator fixtures + MockRiskEvaluationPort</x:v>
      </x:c>
    </x:row>
    <x:row r="53">
      <x:c r="A53" s="30" t="str">
        <x:v>T-WP03</x:v>
      </x:c>
      <x:c r="B53" s="30" t="str">
        <x:v>Thắng</x:v>
      </x:c>
      <x:c r="C53" s="30" t="str">
        <x:v>M03</x:v>
      </x:c>
      <x:c r="D53" s="30" t="str">
        <x:v>Entity Extraction from Text</x:v>
      </x:c>
      <x:c r="E53" s="30" t="str">
        <x:v>M03-F016, M03-F017, M03-F018, M03-F019, M03-F020, M03-F021, M03-F022, M03-F023</x:v>
      </x:c>
      <x:c r="F53" s="30" t="n">
        <x:v>5</x:v>
      </x:c>
      <x:c r="G53" s="30" t="n">
        <x:v>2</x:v>
      </x:c>
      <x:c r="H53" s="30" t="n">
        <x:v>1</x:v>
      </x:c>
      <x:c r="I53" s="30" t="n">
        <x:v>20</x:v>
      </x:c>
      <x:c r="J53" s="30" t="str">
        <x:v>Core</x:v>
      </x:c>
      <x:c r="K53" s="30" t="str">
        <x:v>FakeMessageBus + text/AI/derived-indicator fixtures + MockRiskEvaluationPort</x:v>
      </x:c>
    </x:row>
    <x:row r="54">
      <x:c r="A54" s="30" t="str">
        <x:v>T-WP04</x:v>
      </x:c>
      <x:c r="B54" s="30" t="str">
        <x:v>Thắng</x:v>
      </x:c>
      <x:c r="C54" s="30" t="str">
        <x:v>M03</x:v>
      </x:c>
      <x:c r="D54" s="30" t="str">
        <x:v>Scam Taxonomy &amp; User-facing Classification</x:v>
      </x:c>
      <x:c r="E54" s="30" t="str">
        <x:v>M03-F024, M03-F025, M03-F026, M03-F027, M03-F028, M03-F029, M03-F030</x:v>
      </x:c>
      <x:c r="F54" s="30" t="n">
        <x:v>1</x:v>
      </x:c>
      <x:c r="G54" s="30" t="n">
        <x:v>3</x:v>
      </x:c>
      <x:c r="H54" s="30" t="n">
        <x:v>3</x:v>
      </x:c>
      <x:c r="I54" s="30" t="n">
        <x:v>12</x:v>
      </x:c>
      <x:c r="J54" s="30" t="str">
        <x:v>Core</x:v>
      </x:c>
      <x:c r="K54" s="30" t="str">
        <x:v>FakeMessageBus + text/AI/derived-indicator fixtures + MockRiskEvaluationPort</x:v>
      </x:c>
    </x:row>
    <x:row r="55">
      <x:c r="A55" s="30" t="str">
        <x:v>T-WP05</x:v>
      </x:c>
      <x:c r="B55" s="30" t="str">
        <x:v>Thắng</x:v>
      </x:c>
      <x:c r="C55" s="30" t="str">
        <x:v>M03</x:v>
      </x:c>
      <x:c r="D55" s="30" t="str">
        <x:v>Keyword Dictionary Administration</x:v>
      </x:c>
      <x:c r="E55" s="30" t="str">
        <x:v>M03-F031, M03-F032, M03-F033, M03-F034, M03-F035, M03-F036, M03-F037</x:v>
      </x:c>
      <x:c r="F55" s="30" t="n">
        <x:v>1</x:v>
      </x:c>
      <x:c r="G55" s="30" t="n">
        <x:v>3</x:v>
      </x:c>
      <x:c r="H55" s="30" t="n">
        <x:v>3</x:v>
      </x:c>
      <x:c r="I55" s="30" t="n">
        <x:v>12</x:v>
      </x:c>
      <x:c r="J55" s="30" t="str">
        <x:v>Core</x:v>
      </x:c>
      <x:c r="K55" s="30" t="str">
        <x:v>FakeMessageBus + text/AI/derived-indicator fixtures + MockRiskEvaluationPort</x:v>
      </x:c>
    </x:row>
    <x:row r="56">
      <x:c r="A56" s="30" t="str">
        <x:v>T-WP06</x:v>
      </x:c>
      <x:c r="B56" s="30" t="str">
        <x:v>Thắng</x:v>
      </x:c>
      <x:c r="C56" s="30" t="str">
        <x:v>M03</x:v>
      </x:c>
      <x:c r="D56" s="30" t="str">
        <x:v>Multi-turn Conversation Analysis</x:v>
      </x:c>
      <x:c r="E56" s="30" t="str">
        <x:v>M03-F038, M03-F039, M03-F040, M03-F041, M03-F042, M03-F043</x:v>
      </x:c>
      <x:c r="F56" s="30" t="n">
        <x:v>0</x:v>
      </x:c>
      <x:c r="G56" s="30" t="n">
        <x:v>3</x:v>
      </x:c>
      <x:c r="H56" s="30" t="n">
        <x:v>3</x:v>
      </x:c>
      <x:c r="I56" s="30" t="n">
        <x:v>9</x:v>
      </x:c>
      <x:c r="J56" s="30" t="str">
        <x:v>Core</x:v>
      </x:c>
      <x:c r="K56" s="30" t="str">
        <x:v>FakeMessageBus + text/AI/derived-indicator fixtures + MockRiskEvaluationPort</x:v>
      </x:c>
    </x:row>
    <x:row r="57">
      <x:c r="A57" s="30" t="str">
        <x:v>T-WP07</x:v>
      </x:c>
      <x:c r="B57" s="30" t="str">
        <x:v>Thắng</x:v>
      </x:c>
      <x:c r="C57" s="30" t="str">
        <x:v>M03</x:v>
      </x:c>
      <x:c r="D57" s="30" t="str">
        <x:v>Text Input Privacy &amp; Worker Contract</x:v>
      </x:c>
      <x:c r="E57" s="30" t="str">
        <x:v>M03-F044, M03-F045, M03-F046, M03-F047, M03-F048</x:v>
      </x:c>
      <x:c r="F57" s="30" t="n">
        <x:v>4</x:v>
      </x:c>
      <x:c r="G57" s="30" t="n">
        <x:v>1</x:v>
      </x:c>
      <x:c r="H57" s="30" t="n">
        <x:v>0</x:v>
      </x:c>
      <x:c r="I57" s="30" t="n">
        <x:v>14</x:v>
      </x:c>
      <x:c r="J57" s="30" t="str">
        <x:v>Core</x:v>
      </x:c>
      <x:c r="K57" s="30" t="str">
        <x:v>FakeMessageBus + text/AI/derived-indicator fixtures + MockRiskEvaluationPort</x:v>
      </x:c>
    </x:row>
    <x:row r="58">
      <x:c r="A58" s="30" t="str">
        <x:v>T-WP08</x:v>
      </x:c>
      <x:c r="B58" s="30" t="str">
        <x:v>Thắng</x:v>
      </x:c>
      <x:c r="C58" s="30" t="str">
        <x:v>M05</x:v>
      </x:c>
      <x:c r="D58" s="30" t="str">
        <x:v>QR/VietQR Decode, Classification &amp; Nested Routing</x:v>
      </x:c>
      <x:c r="E58" s="30" t="str">
        <x:v>M05-F001, M05-F002, M05-F003, M05-F004, M05-F005, M05-F006, M05-F009, M05-F010</x:v>
      </x:c>
      <x:c r="F58" s="30" t="n">
        <x:v>7</x:v>
      </x:c>
      <x:c r="G58" s="30" t="n">
        <x:v>1</x:v>
      </x:c>
      <x:c r="H58" s="30" t="n">
        <x:v>0</x:v>
      </x:c>
      <x:c r="I58" s="30" t="n">
        <x:v>23</x:v>
      </x:c>
      <x:c r="J58" s="30" t="str">
        <x:v>Core</x:v>
      </x:c>
      <x:c r="K58" s="30" t="str">
        <x:v>QR fixtures + fake scan-platform/child-scan adapter; SSRF handled by M02 contract</x:v>
      </x:c>
    </x:row>
    <x:row r="59">
      <x:c r="A59" s="30" t="str">
        <x:v>T-WP09</x:v>
      </x:c>
      <x:c r="B59" s="30" t="str">
        <x:v>Thắng</x:v>
      </x:c>
      <x:c r="C59" s="30" t="str">
        <x:v>M05</x:v>
      </x:c>
      <x:c r="D59" s="30" t="str">
        <x:v>Advanced QR Safety Checks</x:v>
      </x:c>
      <x:c r="E59" s="30" t="str">
        <x:v>M05-F007, M05-F008</x:v>
      </x:c>
      <x:c r="F59" s="30" t="n">
        <x:v>0</x:v>
      </x:c>
      <x:c r="G59" s="30" t="n">
        <x:v>0</x:v>
      </x:c>
      <x:c r="H59" s="30" t="n">
        <x:v>2</x:v>
      </x:c>
      <x:c r="I59" s="30" t="n">
        <x:v>2</x:v>
      </x:c>
      <x:c r="J59" s="30" t="str">
        <x:v>Core</x:v>
      </x:c>
      <x:c r="K59" s="30" t="str">
        <x:v>QR fixtures + fake scan-platform/child-scan adapter; SSRF handled by M02 contract</x:v>
      </x:c>
    </x:row>
    <x:row r="60">
      <x:c r="A60" s="30" t="str">
        <x:v>T-WP10</x:v>
      </x:c>
      <x:c r="B60" s="30" t="str">
        <x:v>Thắng</x:v>
      </x:c>
      <x:c r="C60" s="30" t="str">
        <x:v>M06</x:v>
      </x:c>
      <x:c r="D60" s="30" t="str">
        <x:v>History Query, Access Control &amp; Pagination</x:v>
      </x:c>
      <x:c r="E60" s="30" t="str">
        <x:v>M06-F003, M06-F004, M06-F005, M06-F006</x:v>
      </x:c>
      <x:c r="F60" s="30" t="n">
        <x:v>3</x:v>
      </x:c>
      <x:c r="G60" s="30" t="n">
        <x:v>1</x:v>
      </x:c>
      <x:c r="H60" s="30" t="n">
        <x:v>0</x:v>
      </x:c>
      <x:c r="I60" s="30" t="n">
        <x:v>11</x:v>
      </x:c>
      <x:c r="J60" s="30" t="str">
        <x:v>Core</x:v>
      </x:c>
      <x:c r="K60" s="30" t="str">
        <x:v>RiskResult/history fixtures + mock object storage/export event + MockNotificationPort</x:v>
      </x:c>
    </x:row>
    <x:row r="61">
      <x:c r="A61" s="30" t="str">
        <x:v>T-WP11</x:v>
      </x:c>
      <x:c r="B61" s="30" t="str">
        <x:v>Thắng</x:v>
      </x:c>
      <x:c r="C61" s="30" t="str">
        <x:v>M06</x:v>
      </x:c>
      <x:c r="D61" s="30" t="str">
        <x:v>History Retention &amp; User Management</x:v>
      </x:c>
      <x:c r="E61" s="30" t="str">
        <x:v>M06-F001, M06-F002, M06-F007, M06-F008, M06-F009, M06-F010</x:v>
      </x:c>
      <x:c r="F61" s="30" t="n">
        <x:v>1</x:v>
      </x:c>
      <x:c r="G61" s="30" t="n">
        <x:v>3</x:v>
      </x:c>
      <x:c r="H61" s="30" t="n">
        <x:v>2</x:v>
      </x:c>
      <x:c r="I61" s="30" t="n">
        <x:v>11</x:v>
      </x:c>
      <x:c r="J61" s="30" t="str">
        <x:v>Core</x:v>
      </x:c>
      <x:c r="K61" s="30" t="str">
        <x:v>RiskResult/history fixtures + mock object storage/export event + MockNotificationPort</x:v>
      </x:c>
    </x:row>
    <x:row r="62">
      <x:c r="A62" s="30" t="str">
        <x:v>T-WP12</x:v>
      </x:c>
      <x:c r="B62" s="30" t="str">
        <x:v>Thắng</x:v>
      </x:c>
      <x:c r="C62" s="30" t="str">
        <x:v>M06</x:v>
      </x:c>
      <x:c r="D62" s="30" t="str">
        <x:v>RiskResult Contract &amp; Presentation Components</x:v>
      </x:c>
      <x:c r="E62" s="30" t="str">
        <x:v>M06-F011, M06-F012, M06-F013, M06-F014, M06-F020</x:v>
      </x:c>
      <x:c r="F62" s="30" t="n">
        <x:v>3</x:v>
      </x:c>
      <x:c r="G62" s="30" t="n">
        <x:v>2</x:v>
      </x:c>
      <x:c r="H62" s="30" t="n">
        <x:v>0</x:v>
      </x:c>
      <x:c r="I62" s="30" t="n">
        <x:v>13</x:v>
      </x:c>
      <x:c r="J62" s="30" t="str">
        <x:v>Core</x:v>
      </x:c>
      <x:c r="K62" s="30" t="str">
        <x:v>RiskResult/history fixtures + mock object storage/export event + MockNotificationPort</x:v>
      </x:c>
    </x:row>
    <x:row r="63">
      <x:c r="A63" s="30" t="str">
        <x:v>T-WP13</x:v>
      </x:c>
      <x:c r="B63" s="30" t="str">
        <x:v>Thắng</x:v>
      </x:c>
      <x:c r="C63" s="30" t="str">
        <x:v>M06</x:v>
      </x:c>
      <x:c r="D63" s="30" t="str">
        <x:v>Result Sharing &amp; External Consumption</x:v>
      </x:c>
      <x:c r="E63" s="30" t="str">
        <x:v>M06-F015, M06-F017, M06-F018</x:v>
      </x:c>
      <x:c r="F63" s="30" t="n">
        <x:v>0</x:v>
      </x:c>
      <x:c r="G63" s="30" t="n">
        <x:v>1</x:v>
      </x:c>
      <x:c r="H63" s="30" t="n">
        <x:v>2</x:v>
      </x:c>
      <x:c r="I63" s="30" t="n">
        <x:v>4</x:v>
      </x:c>
      <x:c r="J63" s="30" t="str">
        <x:v>Core</x:v>
      </x:c>
      <x:c r="K63" s="30" t="str">
        <x:v>RiskResult/history fixtures + mock object storage/export event + MockNotificationPort</x:v>
      </x:c>
    </x:row>
    <x:row r="64">
      <x:c r="A64" s="30" t="str">
        <x:v>T-WP14</x:v>
      </x:c>
      <x:c r="B64" s="30" t="str">
        <x:v>Thắng</x:v>
      </x:c>
      <x:c r="C64" s="30" t="str">
        <x:v>M06</x:v>
      </x:c>
      <x:c r="D64" s="30" t="str">
        <x:v>Async Export &amp; Admin Reporting</x:v>
      </x:c>
      <x:c r="E64" s="30" t="str">
        <x:v>M06-F016, M06-F019, M06-F021</x:v>
      </x:c>
      <x:c r="F64" s="30" t="n">
        <x:v>0</x:v>
      </x:c>
      <x:c r="G64" s="30" t="n">
        <x:v>2</x:v>
      </x:c>
      <x:c r="H64" s="30" t="n">
        <x:v>1</x:v>
      </x:c>
      <x:c r="I64" s="30" t="n">
        <x:v>5</x:v>
      </x:c>
      <x:c r="J64" s="30" t="str">
        <x:v>Core</x:v>
      </x:c>
      <x:c r="K64" s="30" t="str">
        <x:v>RiskResult/history fixtures + mock object storage/export event + MockNotificationPort</x:v>
      </x:c>
    </x:row>
    <x:row r="65">
      <x:c r="A65" s="30" t="str">
        <x:v>T-WP15</x:v>
      </x:c>
      <x:c r="B65" s="30" t="str">
        <x:v>Thắng</x:v>
      </x:c>
      <x:c r="C65" s="30" t="str">
        <x:v>M11</x:v>
      </x:c>
      <x:c r="D65" s="30" t="str">
        <x:v>AI Task/Result Contract &amp; Worker Core</x:v>
      </x:c>
      <x:c r="E65" s="30" t="str">
        <x:v>M11-F001, M11-F002, M11-F003, M11-F004, M11-F005, M11-F006, M11-F017, M11-F018</x:v>
      </x:c>
      <x:c r="F65" s="30" t="n">
        <x:v>5</x:v>
      </x:c>
      <x:c r="G65" s="30" t="n">
        <x:v>3</x:v>
      </x:c>
      <x:c r="H65" s="30" t="n">
        <x:v>0</x:v>
      </x:c>
      <x:c r="I65" s="30" t="n">
        <x:v>21</x:v>
      </x:c>
      <x:c r="J65" s="30" t="str">
        <x:v>Core</x:v>
      </x:c>
      <x:c r="K65" s="30" t="str">
        <x:v>FakeMessageBus + ai request/result fixtures + mock provider adapters</x:v>
      </x:c>
    </x:row>
    <x:row r="66">
      <x:c r="A66" s="30" t="str">
        <x:v>T-WP16</x:v>
      </x:c>
      <x:c r="B66" s="30" t="str">
        <x:v>Thắng</x:v>
      </x:c>
      <x:c r="C66" s="30" t="str">
        <x:v>M11</x:v>
      </x:c>
      <x:c r="D66" s="30" t="str">
        <x:v>AI Provider Resolver &amp; Adapter Registry</x:v>
      </x:c>
      <x:c r="E66" s="30" t="str">
        <x:v>M11-F009, M11-F019, M11-F020</x:v>
      </x:c>
      <x:c r="F66" s="30" t="n">
        <x:v>1</x:v>
      </x:c>
      <x:c r="G66" s="30" t="n">
        <x:v>1</x:v>
      </x:c>
      <x:c r="H66" s="30" t="n">
        <x:v>1</x:v>
      </x:c>
      <x:c r="I66" s="30" t="n">
        <x:v>6</x:v>
      </x:c>
      <x:c r="J66" s="30" t="str">
        <x:v>Core</x:v>
      </x:c>
      <x:c r="K66" s="30" t="str">
        <x:v>FakeMessageBus + ai request/result fixtures + mock provider adapters</x:v>
      </x:c>
    </x:row>
    <x:row r="67">
      <x:c r="A67" s="30" t="str">
        <x:v>T-WP17</x:v>
      </x:c>
      <x:c r="B67" s="30" t="str">
        <x:v>Thắng</x:v>
      </x:c>
      <x:c r="C67" s="30" t="str">
        <x:v>M11</x:v>
      </x:c>
      <x:c r="D67" s="30" t="str">
        <x:v>AI Safety, Prompt/Output Guardrails &amp; Cache Options</x:v>
      </x:c>
      <x:c r="E67" s="30" t="str">
        <x:v>M11-F007, M11-F008</x:v>
      </x:c>
      <x:c r="F67" s="30" t="n">
        <x:v>0</x:v>
      </x:c>
      <x:c r="G67" s="30" t="n">
        <x:v>0</x:v>
      </x:c>
      <x:c r="H67" s="30" t="n">
        <x:v>2</x:v>
      </x:c>
      <x:c r="I67" s="30" t="n">
        <x:v>2</x:v>
      </x:c>
      <x:c r="J67" s="30" t="str">
        <x:v>Core</x:v>
      </x:c>
      <x:c r="K67" s="30" t="str">
        <x:v>FakeMessageBus + ai request/result fixtures + mock provider adapters</x:v>
      </x:c>
    </x:row>
    <x:row r="68">
      <x:c r="A68" s="30" t="str">
        <x:v>T-WP18</x:v>
      </x:c>
      <x:c r="B68" s="30" t="str">
        <x:v>Thắng</x:v>
      </x:c>
      <x:c r="C68" s="30" t="str">
        <x:v>M11</x:v>
      </x:c>
      <x:c r="D68" s="30" t="str">
        <x:v>AI Evaluation Dataset, Metrics &amp; Calibration</x:v>
      </x:c>
      <x:c r="E68" s="30" t="str">
        <x:v>M11-F010, M11-F011, M11-F012, M11-F013, M11-F014, M11-F015, M11-F016</x:v>
      </x:c>
      <x:c r="F68" s="30" t="n">
        <x:v>1</x:v>
      </x:c>
      <x:c r="G68" s="30" t="n">
        <x:v>3</x:v>
      </x:c>
      <x:c r="H68" s="30" t="n">
        <x:v>3</x:v>
      </x:c>
      <x:c r="I68" s="30" t="n">
        <x:v>12</x:v>
      </x:c>
      <x:c r="J68" s="30" t="str">
        <x:v>Core</x:v>
      </x:c>
      <x:c r="K68" s="30" t="str">
        <x:v>FakeMessageBus + ai request/result fixtures + mock provider adapters</x:v>
      </x:c>
    </x:row>
    <x:row r="69">
      <x:c r="A69" s="30" t="str">
        <x:v>H-FWP01</x:v>
      </x:c>
      <x:c r="B69" s="30" t="str">
        <x:v>Hùng</x:v>
      </x:c>
      <x:c r="C69" s="30" t="str">
        <x:v>FUTURE</x:v>
      </x:c>
      <x:c r="D69" s="30" t="str">
        <x:v>Future Entitlements, Plans &amp; Subscription Boundary</x:v>
      </x:c>
      <x:c r="E69" s="30" t="str">
        <x:v>FUTURE-F025, FUTURE-F026, FUTURE-F027, FUTURE-F028</x:v>
      </x:c>
      <x:c r="F69" s="30" t="n">
        <x:v>0</x:v>
      </x:c>
      <x:c r="G69" s="30" t="n">
        <x:v>0</x:v>
      </x:c>
      <x:c r="H69" s="30" t="n">
        <x:v>4</x:v>
      </x:c>
      <x:c r="I69" s="30" t="n">
        <x:v>4</x:v>
      </x:c>
      <x:c r="J69" s="30" t="str">
        <x:v>Future</x:v>
      </x:c>
      <x:c r="K69" s="30" t="str">
        <x:v>Build against current public ports/fixtures; must not change MVP contracts until promoted</x:v>
      </x:c>
    </x:row>
    <x:row r="70">
      <x:c r="A70" s="30" t="str">
        <x:v>H-FWP02</x:v>
      </x:c>
      <x:c r="B70" s="30" t="str">
        <x:v>Hùng</x:v>
      </x:c>
      <x:c r="C70" s="30" t="str">
        <x:v>FUTURE</x:v>
      </x:c>
      <x:c r="D70" s="30" t="str">
        <x:v>Community Contribution Gamification</x:v>
      </x:c>
      <x:c r="E70" s="30" t="str">
        <x:v>FUTURE-F021, FUTURE-F022, FUTURE-F023</x:v>
      </x:c>
      <x:c r="F70" s="30" t="n">
        <x:v>0</x:v>
      </x:c>
      <x:c r="G70" s="30" t="n">
        <x:v>0</x:v>
      </x:c>
      <x:c r="H70" s="30" t="n">
        <x:v>3</x:v>
      </x:c>
      <x:c r="I70" s="30" t="n">
        <x:v>3</x:v>
      </x:c>
      <x:c r="J70" s="30" t="str">
        <x:v>Future</x:v>
      </x:c>
      <x:c r="K70" s="30" t="str">
        <x:v>Build against current public ports/fixtures; must not change MVP contracts until promoted</x:v>
      </x:c>
    </x:row>
    <x:row r="71">
      <x:c r="A71" s="30" t="str">
        <x:v>K-FWP01</x:v>
      </x:c>
      <x:c r="B71" s="30" t="str">
        <x:v>Khải</x:v>
      </x:c>
      <x:c r="C71" s="30" t="str">
        <x:v>FUTURE</x:v>
      </x:c>
      <x:c r="D71" s="30" t="str">
        <x:v>Browser Extension Protection Surface</x:v>
      </x:c>
      <x:c r="E71" s="30" t="str">
        <x:v>FUTURE-F001, FUTURE-F002, FUTURE-F003, FUTURE-F004, FUTURE-F005, FUTURE-F006</x:v>
      </x:c>
      <x:c r="F71" s="30" t="n">
        <x:v>0</x:v>
      </x:c>
      <x:c r="G71" s="30" t="n">
        <x:v>0</x:v>
      </x:c>
      <x:c r="H71" s="30" t="n">
        <x:v>6</x:v>
      </x:c>
      <x:c r="I71" s="30" t="n">
        <x:v>6</x:v>
      </x:c>
      <x:c r="J71" s="30" t="str">
        <x:v>Future</x:v>
      </x:c>
      <x:c r="K71" s="30" t="str">
        <x:v>Build against current public ports/fixtures; must not change MVP contracts until promoted</x:v>
      </x:c>
    </x:row>
    <x:row r="72">
      <x:c r="A72" s="30" t="str">
        <x:v>K-FWP02</x:v>
      </x:c>
      <x:c r="B72" s="30" t="str">
        <x:v>Khải</x:v>
      </x:c>
      <x:c r="C72" s="30" t="str">
        <x:v>FUTURE</x:v>
      </x:c>
      <x:c r="D72" s="30" t="str">
        <x:v>Future Usage, Credit Ledger &amp; API Credentials</x:v>
      </x:c>
      <x:c r="E72" s="30" t="str">
        <x:v>FUTURE-F029, FUTURE-F030, FUTURE-F031, FUTURE-F032, FUTURE-F033</x:v>
      </x:c>
      <x:c r="F72" s="30" t="n">
        <x:v>0</x:v>
      </x:c>
      <x:c r="G72" s="30" t="n">
        <x:v>0</x:v>
      </x:c>
      <x:c r="H72" s="30" t="n">
        <x:v>5</x:v>
      </x:c>
      <x:c r="I72" s="30" t="n">
        <x:v>5</x:v>
      </x:c>
      <x:c r="J72" s="30" t="str">
        <x:v>Future</x:v>
      </x:c>
      <x:c r="K72" s="30" t="str">
        <x:v>Build against current public ports/fixtures; must not change MVP contracts until promoted</x:v>
      </x:c>
    </x:row>
    <x:row r="73">
      <x:c r="A73" s="30" t="str">
        <x:v>K-FWP03</x:v>
      </x:c>
      <x:c r="B73" s="30" t="str">
        <x:v>Khải</x:v>
      </x:c>
      <x:c r="C73" s="30" t="str">
        <x:v>FUTURE</x:v>
      </x:c>
      <x:c r="D73" s="30" t="str">
        <x:v>Social Sharing for Learning/Engagement</x:v>
      </x:c>
      <x:c r="E73" s="30" t="str">
        <x:v>FUTURE-F024</x:v>
      </x:c>
      <x:c r="F73" s="30" t="n">
        <x:v>0</x:v>
      </x:c>
      <x:c r="G73" s="30" t="n">
        <x:v>0</x:v>
      </x:c>
      <x:c r="H73" s="30" t="n">
        <x:v>1</x:v>
      </x:c>
      <x:c r="I73" s="30" t="n">
        <x:v>1</x:v>
      </x:c>
      <x:c r="J73" s="30" t="str">
        <x:v>Future</x:v>
      </x:c>
      <x:c r="K73" s="30" t="str">
        <x:v>Build against current public ports/fixtures; must not change MVP contracts until promoted</x:v>
      </x:c>
    </x:row>
    <x:row r="74">
      <x:c r="A74" s="30" t="str">
        <x:v>I-FWP01</x:v>
      </x:c>
      <x:c r="B74" s="30" t="str">
        <x:v>Kiên</x:v>
      </x:c>
      <x:c r="C74" s="30" t="str">
        <x:v>FUTURE</x:v>
      </x:c>
      <x:c r="D74" s="30" t="str">
        <x:v>Knowledge Library &amp; Editorial Workflow</x:v>
      </x:c>
      <x:c r="E74" s="30" t="str">
        <x:v>FUTURE-F007, FUTURE-F008, FUTURE-F009, FUTURE-F010, FUTURE-F011, FUTURE-F012</x:v>
      </x:c>
      <x:c r="F74" s="30" t="n">
        <x:v>0</x:v>
      </x:c>
      <x:c r="G74" s="30" t="n">
        <x:v>0</x:v>
      </x:c>
      <x:c r="H74" s="30" t="n">
        <x:v>6</x:v>
      </x:c>
      <x:c r="I74" s="30" t="n">
        <x:v>6</x:v>
      </x:c>
      <x:c r="J74" s="30" t="str">
        <x:v>Future</x:v>
      </x:c>
      <x:c r="K74" s="30" t="str">
        <x:v>Build against current public ports/fixtures; must not change MVP contracts until promoted</x:v>
      </x:c>
    </x:row>
    <x:row r="75">
      <x:c r="A75" s="30" t="str">
        <x:v>T-FWP01</x:v>
      </x:c>
      <x:c r="B75" s="30" t="str">
        <x:v>Thắng</x:v>
      </x:c>
      <x:c r="C75" s="30" t="str">
        <x:v>FUTURE</x:v>
      </x:c>
      <x:c r="D75" s="30" t="str">
        <x:v>Scam Q&amp;A Assistant</x:v>
      </x:c>
      <x:c r="E75" s="30" t="str">
        <x:v>FUTURE-F013, FUTURE-F014, FUTURE-F015, FUTURE-F016, FUTURE-F017, FUTURE-F018</x:v>
      </x:c>
      <x:c r="F75" s="30" t="n">
        <x:v>0</x:v>
      </x:c>
      <x:c r="G75" s="30" t="n">
        <x:v>0</x:v>
      </x:c>
      <x:c r="H75" s="30" t="n">
        <x:v>6</x:v>
      </x:c>
      <x:c r="I75" s="30" t="n">
        <x:v>6</x:v>
      </x:c>
      <x:c r="J75" s="30" t="str">
        <x:v>Future</x:v>
      </x:c>
      <x:c r="K75" s="30" t="str">
        <x:v>Build against current public ports/fixtures; must not change MVP contracts until promoted</x:v>
      </x:c>
    </x:row>
    <x:row r="76">
      <x:c r="A76" s="30" t="str">
        <x:v>T-FWP02</x:v>
      </x:c>
      <x:c r="B76" s="30" t="str">
        <x:v>Thắng</x:v>
      </x:c>
      <x:c r="C76" s="30" t="str">
        <x:v>FUTURE</x:v>
      </x:c>
      <x:c r="D76" s="30" t="str">
        <x:v>Anti-Scam Quiz &amp; Learning Evaluation</x:v>
      </x:c>
      <x:c r="E76" s="30" t="str">
        <x:v>FUTURE-F019, FUTURE-F020</x:v>
      </x:c>
      <x:c r="F76" s="30" t="n">
        <x:v>0</x:v>
      </x:c>
      <x:c r="G76" s="30" t="n">
        <x:v>0</x:v>
      </x:c>
      <x:c r="H76" s="30" t="n">
        <x:v>2</x:v>
      </x:c>
      <x:c r="I76" s="30" t="n">
        <x:v>2</x:v>
      </x:c>
      <x:c r="J76" s="30" t="str">
        <x:v>Future</x:v>
      </x:c>
      <x:c r="K76" s="30" t="str">
        <x:v>Build against current public ports/fixtures; must not change MVP contracts until promoted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0" hidden="0" customWidth="1"/>
    <x:col min="4" max="4" width="14" hidden="0" customWidth="1"/>
    <x:col min="5" max="5" width="14" hidden="0" customWidth="1"/>
    <x:col min="6" max="6" width="12" hidden="0" customWidth="1"/>
    <x:col min="7" max="7" width="64" hidden="0" customWidth="1"/>
    <x:col min="8" max="8" width="24" hidden="0" customWidth="1"/>
    <x:col min="9" max="9" width="14" hidden="0" customWidth="1"/>
    <x:col min="10" max="10" width="9" hidden="0" customWidth="1"/>
    <x:col min="11" max="11" width="14" hidden="0" customWidth="1"/>
    <x:col min="12" max="12" width="12" hidden="0" customWidth="1"/>
    <x:col min="13" max="13" width="30" hidden="0" customWidth="1"/>
    <x:col min="14" max="14" width="28" hidden="0" customWidth="1"/>
  </x:cols>
  <x:sheetData>
    <x:row r="1">
      <x:c r="A1" s="39" t="str">
        <x:v>Module</x:v>
      </x:c>
      <x:c r="B1" s="39" t="str">
        <x:v>Feature ID</x:v>
      </x:c>
      <x:c r="C1" s="39" t="str">
        <x:v>Priority</x:v>
      </x:c>
      <x:c r="D1" s="39" t="str">
        <x:v>Action</x:v>
      </x:c>
      <x:c r="E1" s="39" t="str">
        <x:v>Work Package</x:v>
      </x:c>
      <x:c r="F1" s="39" t="str">
        <x:v>Owner</x:v>
      </x:c>
      <x:c r="G1" s="39" t="str">
        <x:v>Feature / Acceptance Criteria</x:v>
      </x:c>
      <x:c r="H1" s="39" t="str">
        <x:v>Legacy / Source</x:v>
      </x:c>
      <x:c r="I1" s="39" t="str">
        <x:v>Legacy Owner</x:v>
      </x:c>
      <x:c r="J1" s="39" t="str">
        <x:v>Done ✓</x:v>
      </x:c>
      <x:c r="K1" s="39" t="str">
        <x:v>Status</x:v>
      </x:c>
      <x:c r="L1" s="39" t="str">
        <x:v>Progress %</x:v>
      </x:c>
      <x:c r="M1" s="39" t="str">
        <x:v>Evidence / PR / Demo</x:v>
      </x:c>
      <x:c r="N1" s="39" t="str">
        <x:v>Note</x:v>
      </x:c>
    </x:row>
    <x:row r="2">
      <x:c r="A2" s="30" t="str">
        <x:v>M01</x:v>
      </x:c>
      <x:c r="B2" s="30" t="str">
        <x:v>M01-F001</x:v>
      </x:c>
      <x:c r="C2" s="30" t="str">
        <x:v>P0</x:v>
      </x:c>
      <x:c r="D2" s="30" t="str">
        <x:v>MODIFY</x:v>
      </x:c>
      <x:c r="E2" s="30" t="str">
        <x:v>H-WP01</x:v>
      </x:c>
      <x:c r="F2" s="30" t="str">
        <x:v>Hùng</x:v>
      </x:c>
      <x:c r="G2" s="30" t="str">
        <x:v>Đăng ký Local bằng email + mật khẩu; validate định dạng, độ mạnh mật khẩu và profile tối thiểu.</x:v>
      </x:c>
      <x:c r="H2" s="30" t="str">
        <x:v>`H01-01 + V3.3`</x:v>
      </x:c>
      <x:c r="I2" s="30" t="str">
        <x:v>Hùng</x:v>
      </x:c>
      <x:c r="J2" s="30" t="str">
        <x:v>☐</x:v>
      </x:c>
      <x:c r="K2" s="30" t="str">
        <x:v>Chưa bắt đầu</x:v>
      </x:c>
      <x:c r="L2" s="40" t="n">
        <x:f>IF(J2="☑",1,IF(K2="Done",1,IF(K2="Đang làm",0.5,IF(K2="Blocked",0.25,0))))</x:f>
        <x:v>0</x:v>
      </x:c>
      <x:c r="M2" s="30" t="str"/>
      <x:c r="N2" s="30" t="str"/>
    </x:row>
    <x:row r="3">
      <x:c r="A3" s="30" t="str">
        <x:v>M01</x:v>
      </x:c>
      <x:c r="B3" s="30" t="str">
        <x:v>M01-F002</x:v>
      </x:c>
      <x:c r="C3" s="30" t="str">
        <x:v>P0</x:v>
      </x:c>
      <x:c r="D3" s="30" t="str">
        <x:v>MODIFY</x:v>
      </x:c>
      <x:c r="E3" s="30" t="str">
        <x:v>H-WP01</x:v>
      </x:c>
      <x:c r="F3" s="30" t="str">
        <x:v>Hùng</x:v>
      </x:c>
      <x:c r="G3" s="30" t="str">
        <x:v>Hash mật khẩu Local bằng BCrypt cost phù hợp; password hash chỉ nằm trong `local_credentials`, không ghi log.</x:v>
      </x:c>
      <x:c r="H3" s="30" t="str">
        <x:v>`H01-02 + V3.3`</x:v>
      </x:c>
      <x:c r="I3" s="30" t="str">
        <x:v>Hùng</x:v>
      </x:c>
      <x:c r="J3" s="30" t="str">
        <x:v>☐</x:v>
      </x:c>
      <x:c r="K3" s="30" t="str">
        <x:v>Chưa bắt đầu</x:v>
      </x:c>
      <x:c r="L3" s="40" t="n">
        <x:f>IF(J3="☑",1,IF(K3="Done",1,IF(K3="Đang làm",0.5,IF(K3="Blocked",0.25,0))))</x:f>
        <x:v>0</x:v>
      </x:c>
      <x:c r="M3" s="30" t="str"/>
      <x:c r="N3" s="30" t="str"/>
    </x:row>
    <x:row r="4">
      <x:c r="A4" s="30" t="str">
        <x:v>M01</x:v>
      </x:c>
      <x:c r="B4" s="30" t="str">
        <x:v>M01-F003</x:v>
      </x:c>
      <x:c r="C4" s="30" t="str">
        <x:v>P0</x:v>
      </x:c>
      <x:c r="D4" s="30" t="str">
        <x:v>MODIFY</x:v>
      </x:c>
      <x:c r="E4" s="30" t="str">
        <x:v>H-WP01</x:v>
      </x:c>
      <x:c r="F4" s="30" t="str">
        <x:v>Hùng</x:v>
      </x:c>
      <x:c r="G4" s="30" t="str">
        <x:v>Chuẩn hoá email (trim/lowercase) trước khi lưu/so sánh và enforce UNIQUE trên `users.email`; MVP không có `username`/public handle unique.</x:v>
      </x:c>
      <x:c r="H4" s="30" t="str">
        <x:v>`H01-03 + MODSPEC-V1.3`</x:v>
      </x:c>
      <x:c r="I4" s="30" t="str">
        <x:v>Hùng</x:v>
      </x:c>
      <x:c r="J4" s="30" t="str">
        <x:v>☐</x:v>
      </x:c>
      <x:c r="K4" s="30" t="str">
        <x:v>Chưa bắt đầu</x:v>
      </x:c>
      <x:c r="L4" s="40" t="n">
        <x:f>IF(J4="☑",1,IF(K4="Done",1,IF(K4="Đang làm",0.5,IF(K4="Blocked",0.25,0))))</x:f>
        <x:v>0</x:v>
      </x:c>
      <x:c r="M4" s="30" t="str"/>
      <x:c r="N4" s="30" t="str"/>
    </x:row>
    <x:row r="5">
      <x:c r="A5" s="30" t="str">
        <x:v>M01</x:v>
      </x:c>
      <x:c r="B5" s="30" t="str">
        <x:v>M01-F004</x:v>
      </x:c>
      <x:c r="C5" s="30" t="str">
        <x:v>P0</x:v>
      </x:c>
      <x:c r="D5" s="30" t="str">
        <x:v>MODIFY</x:v>
      </x:c>
      <x:c r="E5" s="30" t="str">
        <x:v>H-WP01</x:v>
      </x:c>
      <x:c r="F5" s="30" t="str">
        <x:v>Hùng</x:v>
      </x:c>
      <x:c r="G5" s="30" t="str">
        <x:v>Xác thực email bằng OTP/challenge do M01 sở hữu: lưu hash, expiry, attempt count và single-use consume; M10 chỉ chịu trách nhiệm delivery.</x:v>
      </x:c>
      <x:c r="H5" s="30" t="str">
        <x:v>`H01-04 + V3.3`</x:v>
      </x:c>
      <x:c r="I5" s="30" t="str">
        <x:v>Hùng</x:v>
      </x:c>
      <x:c r="J5" s="30" t="str">
        <x:v>☐</x:v>
      </x:c>
      <x:c r="K5" s="30" t="str">
        <x:v>Chưa bắt đầu</x:v>
      </x:c>
      <x:c r="L5" s="40" t="n">
        <x:f>IF(J5="☑",1,IF(K5="Done",1,IF(K5="Đang làm",0.5,IF(K5="Blocked",0.25,0))))</x:f>
        <x:v>0</x:v>
      </x:c>
      <x:c r="M5" s="30" t="str"/>
      <x:c r="N5" s="30" t="str"/>
    </x:row>
    <x:row r="6">
      <x:c r="A6" s="30" t="str">
        <x:v>M01</x:v>
      </x:c>
      <x:c r="B6" s="30" t="str">
        <x:v>M01-F005</x:v>
      </x:c>
      <x:c r="C6" s="30" t="str">
        <x:v>P1</x:v>
      </x:c>
      <x:c r="D6" s="30" t="str">
        <x:v>MODIFY</x:v>
      </x:c>
      <x:c r="E6" s="30" t="str">
        <x:v>H-WP01</x:v>
      </x:c>
      <x:c r="F6" s="30" t="str">
        <x:v>Hùng</x:v>
      </x:c>
      <x:c r="G6" s="30" t="str">
        <x:v>Cho phép resend email-verification OTP/challenge với rate limit; challenge cũ được expire/replace theo policy.</x:v>
      </x:c>
      <x:c r="H6" s="30" t="str">
        <x:v>`H01-05 + V3.3`</x:v>
      </x:c>
      <x:c r="I6" s="30" t="str">
        <x:v>Hùng</x:v>
      </x:c>
      <x:c r="J6" s="30" t="str">
        <x:v>☐</x:v>
      </x:c>
      <x:c r="K6" s="30" t="str">
        <x:v>Chưa bắt đầu</x:v>
      </x:c>
      <x:c r="L6" s="40" t="n">
        <x:f>IF(J6="☑",1,IF(K6="Done",1,IF(K6="Đang làm",0.5,IF(K6="Blocked",0.25,0))))</x:f>
        <x:v>0</x:v>
      </x:c>
      <x:c r="M6" s="30" t="str"/>
      <x:c r="N6" s="30" t="str"/>
    </x:row>
    <x:row r="7">
      <x:c r="A7" s="30" t="str">
        <x:v>M01</x:v>
      </x:c>
      <x:c r="B7" s="30" t="str">
        <x:v>M01-F006</x:v>
      </x:c>
      <x:c r="C7" s="30" t="str">
        <x:v>P0</x:v>
      </x:c>
      <x:c r="D7" s="30" t="str">
        <x:v>MODIFY</x:v>
      </x:c>
      <x:c r="E7" s="30" t="str">
        <x:v>H-WP02</x:v>
      </x:c>
      <x:c r="F7" s="30" t="str">
        <x:v>Hùng</x:v>
      </x:c>
      <x:c r="G7" s="30" t="str">
        <x:v>Đăng nhập bằng Google OAuth 2.0 / OpenID Connect qua external identity adapter; định danh bằng `providerKey=google` + Google `sub`, không dùng email làm identity primary.</x:v>
      </x:c>
      <x:c r="H7" s="30" t="str">
        <x:v>`H01-06 + V3.3`</x:v>
      </x:c>
      <x:c r="I7" s="30" t="str">
        <x:v>Hùng</x:v>
      </x:c>
      <x:c r="J7" s="30" t="str">
        <x:v>☐</x:v>
      </x:c>
      <x:c r="K7" s="30" t="str">
        <x:v>Chưa bắt đầu</x:v>
      </x:c>
      <x:c r="L7" s="40" t="n">
        <x:f>IF(J7="☑",1,IF(K7="Done",1,IF(K7="Đang làm",0.5,IF(K7="Blocked",0.25,0))))</x:f>
        <x:v>0</x:v>
      </x:c>
      <x:c r="M7" s="30" t="str"/>
      <x:c r="N7" s="30" t="str"/>
    </x:row>
    <x:row r="8">
      <x:c r="A8" s="30" t="str">
        <x:v>M01</x:v>
      </x:c>
      <x:c r="B8" s="30" t="str">
        <x:v>M01-F007</x:v>
      </x:c>
      <x:c r="C8" s="30" t="str">
        <x:v>P0</x:v>
      </x:c>
      <x:c r="D8" s="30" t="str">
        <x:v>MODIFY</x:v>
      </x:c>
      <x:c r="E8" s="30" t="str">
        <x:v>H-WP02</x:v>
      </x:c>
      <x:c r="F8" s="30" t="str">
        <x:v>Hùng</x:v>
      </x:c>
      <x:c r="G8" s="30" t="str">
        <x:v>Guest được scan URL/Text/Entity/QR mà không cần tài khoản; dùng ephemeral `AccessContext`, quota thấp hơn và không có persistent account history.</x:v>
      </x:c>
      <x:c r="H8" s="30" t="str">
        <x:v>`H01-07 + MODSPEC-V1.3`</x:v>
      </x:c>
      <x:c r="I8" s="30" t="str">
        <x:v>Hùng</x:v>
      </x:c>
      <x:c r="J8" s="30" t="str">
        <x:v>☐</x:v>
      </x:c>
      <x:c r="K8" s="30" t="str">
        <x:v>Chưa bắt đầu</x:v>
      </x:c>
      <x:c r="L8" s="40" t="n">
        <x:f>IF(J8="☑",1,IF(K8="Done",1,IF(K8="Đang làm",0.5,IF(K8="Blocked",0.25,0))))</x:f>
        <x:v>0</x:v>
      </x:c>
      <x:c r="M8" s="30" t="str"/>
      <x:c r="N8" s="30" t="str"/>
    </x:row>
    <x:row r="9">
      <x:c r="A9" s="30" t="str">
        <x:v>M01</x:v>
      </x:c>
      <x:c r="B9" s="30" t="str">
        <x:v>M01-F008</x:v>
      </x:c>
      <x:c r="C9" s="30" t="str">
        <x:v>P0</x:v>
      </x:c>
      <x:c r="D9" s="30" t="str">
        <x:v>MODIFY</x:v>
      </x:c>
      <x:c r="E9" s="30" t="str">
        <x:v>H-WP03</x:v>
      </x:c>
      <x:c r="F9" s="30" t="str">
        <x:v>Hùng</x:v>
      </x:c>
      <x:c r="G9" s="30" t="str">
        <x:v>Sau Local/Google authentication thành công: tạo server-side `auth_session`, cấp JWT access token ngắn hạn (mặc định 15 phút) + opaque refresh token dài hạn (mặc định 30 ngày).</x:v>
      </x:c>
      <x:c r="H9" s="30" t="str">
        <x:v>`H02-01 + V3.3`</x:v>
      </x:c>
      <x:c r="I9" s="30" t="str">
        <x:v>Hùng</x:v>
      </x:c>
      <x:c r="J9" s="30" t="str">
        <x:v>☐</x:v>
      </x:c>
      <x:c r="K9" s="30" t="str">
        <x:v>Chưa bắt đầu</x:v>
      </x:c>
      <x:c r="L9" s="40" t="n">
        <x:f>IF(J9="☑",1,IF(K9="Done",1,IF(K9="Đang làm",0.5,IF(K9="Blocked",0.25,0))))</x:f>
        <x:v>0</x:v>
      </x:c>
      <x:c r="M9" s="30" t="str"/>
      <x:c r="N9" s="30" t="str"/>
    </x:row>
    <x:row r="10">
      <x:c r="A10" s="30" t="str">
        <x:v>M01</x:v>
      </x:c>
      <x:c r="B10" s="30" t="str">
        <x:v>M01-F009</x:v>
      </x:c>
      <x:c r="C10" s="30" t="str">
        <x:v>P0</x:v>
      </x:c>
      <x:c r="D10" s="30" t="str">
        <x:v>MODIFY</x:v>
      </x:c>
      <x:c r="E10" s="30" t="str">
        <x:v>H-WP03</x:v>
      </x:c>
      <x:c r="F10" s="30" t="str">
        <x:v>Hùng</x:v>
      </x:c>
      <x:c r="G10" s="30" t="str">
        <x:v>Refresh token là high-entropy opaque credential; DB chỉ lưu `token_hash`, `session_id`, `token_family_id` và metadata rotation; không persist/log raw refresh token.</x:v>
      </x:c>
      <x:c r="H10" s="30" t="str">
        <x:v>`H02-02 + V3.3`</x:v>
      </x:c>
      <x:c r="I10" s="30" t="str">
        <x:v>Hùng</x:v>
      </x:c>
      <x:c r="J10" s="30" t="str">
        <x:v>☐</x:v>
      </x:c>
      <x:c r="K10" s="30" t="str">
        <x:v>Chưa bắt đầu</x:v>
      </x:c>
      <x:c r="L10" s="40" t="n">
        <x:f>IF(J10="☑",1,IF(K10="Done",1,IF(K10="Đang làm",0.5,IF(K10="Blocked",0.25,0))))</x:f>
        <x:v>0</x:v>
      </x:c>
      <x:c r="M10" s="30" t="str"/>
      <x:c r="N10" s="30" t="str"/>
    </x:row>
    <x:row r="11">
      <x:c r="A11" s="30" t="str">
        <x:v>M01</x:v>
      </x:c>
      <x:c r="B11" s="30" t="str">
        <x:v>M01-F010</x:v>
      </x:c>
      <x:c r="C11" s="30" t="str">
        <x:v>P0</x:v>
      </x:c>
      <x:c r="D11" s="30" t="str">
        <x:v>MODIFY</x:v>
      </x:c>
      <x:c r="E11" s="30" t="str">
        <x:v>H-WP03</x:v>
      </x:c>
      <x:c r="F11" s="30" t="str">
        <x:v>Hùng</x:v>
      </x:c>
      <x:c r="G11" s="30" t="str">
        <x:v>Logout phiên hiện tại revoke `auth_session` và refresh-token family tương ứng; access JWT mang `sid` phải bị từ chối khi session đã revoked/expired.</x:v>
      </x:c>
      <x:c r="H11" s="30" t="str">
        <x:v>`H02-03 + V3.3`</x:v>
      </x:c>
      <x:c r="I11" s="30" t="str">
        <x:v>Hùng</x:v>
      </x:c>
      <x:c r="J11" s="30" t="str">
        <x:v>☐</x:v>
      </x:c>
      <x:c r="K11" s="30" t="str">
        <x:v>Chưa bắt đầu</x:v>
      </x:c>
      <x:c r="L11" s="40" t="n">
        <x:f>IF(J11="☑",1,IF(K11="Done",1,IF(K11="Đang làm",0.5,IF(K11="Blocked",0.25,0))))</x:f>
        <x:v>0</x:v>
      </x:c>
      <x:c r="M11" s="30" t="str"/>
      <x:c r="N11" s="30" t="str"/>
    </x:row>
    <x:row r="12">
      <x:c r="A12" s="30" t="str">
        <x:v>M01</x:v>
      </x:c>
      <x:c r="B12" s="30" t="str">
        <x:v>M01-F011</x:v>
      </x:c>
      <x:c r="C12" s="30" t="str">
        <x:v>P0</x:v>
      </x:c>
      <x:c r="D12" s="30" t="str">
        <x:v>MODIFY</x:v>
      </x:c>
      <x:c r="E12" s="30" t="str">
        <x:v>H-WP03</x:v>
      </x:c>
      <x:c r="F12" s="30" t="str">
        <x:v>Hùng</x:v>
      </x:c>
      <x:c r="G12" s="30" t="str">
        <x:v>Refresh token rotation ở mỗi lần refresh: token cũ được consume/replaced, token mới cùng family được cấp atomically.</x:v>
      </x:c>
      <x:c r="H12" s="30" t="str">
        <x:v>`H02-04 + V3.3`</x:v>
      </x:c>
      <x:c r="I12" s="30" t="str">
        <x:v>Hùng</x:v>
      </x:c>
      <x:c r="J12" s="30" t="str">
        <x:v>☐</x:v>
      </x:c>
      <x:c r="K12" s="30" t="str">
        <x:v>Chưa bắt đầu</x:v>
      </x:c>
      <x:c r="L12" s="40" t="n">
        <x:f>IF(J12="☑",1,IF(K12="Done",1,IF(K12="Đang làm",0.5,IF(K12="Blocked",0.25,0))))</x:f>
        <x:v>0</x:v>
      </x:c>
      <x:c r="M12" s="30" t="str"/>
      <x:c r="N12" s="30" t="str"/>
    </x:row>
    <x:row r="13">
      <x:c r="A13" s="30" t="str">
        <x:v>M01</x:v>
      </x:c>
      <x:c r="B13" s="30" t="str">
        <x:v>M01-F012</x:v>
      </x:c>
      <x:c r="C13" s="30" t="str">
        <x:v>P0</x:v>
      </x:c>
      <x:c r="D13" s="30" t="str">
        <x:v>MODIFY</x:v>
      </x:c>
      <x:c r="E13" s="30" t="str">
        <x:v>H-WP03</x:v>
      </x:c>
      <x:c r="F13" s="30" t="str">
        <x:v>Hùng</x:v>
      </x:c>
      <x:c r="G13" s="30" t="str">
        <x:v>Phát hiện refresh-token reuse: revoke toàn bộ token family + `auth_session`, trả 401 và phát security notification qua M10.</x:v>
      </x:c>
      <x:c r="H13" s="30" t="str">
        <x:v>`H02-05 + V3.3`</x:v>
      </x:c>
      <x:c r="I13" s="30" t="str">
        <x:v>Hùng</x:v>
      </x:c>
      <x:c r="J13" s="30" t="str">
        <x:v>☐</x:v>
      </x:c>
      <x:c r="K13" s="30" t="str">
        <x:v>Chưa bắt đầu</x:v>
      </x:c>
      <x:c r="L13" s="40" t="n">
        <x:f>IF(J13="☑",1,IF(K13="Done",1,IF(K13="Đang làm",0.5,IF(K13="Blocked",0.25,0))))</x:f>
        <x:v>0</x:v>
      </x:c>
      <x:c r="M13" s="30" t="str"/>
      <x:c r="N13" s="30" t="str"/>
    </x:row>
    <x:row r="14">
      <x:c r="A14" s="30" t="str">
        <x:v>M01</x:v>
      </x:c>
      <x:c r="B14" s="30" t="str">
        <x:v>M01-F013</x:v>
      </x:c>
      <x:c r="C14" s="30" t="str">
        <x:v>P1</x:v>
      </x:c>
      <x:c r="D14" s="30" t="str">
        <x:v>MODIFY</x:v>
      </x:c>
      <x:c r="E14" s="30" t="str">
        <x:v>H-WP03</x:v>
      </x:c>
      <x:c r="F14" s="30" t="str">
        <x:v>Hùng</x:v>
      </x:c>
      <x:c r="G14" s="30" t="str">
        <x:v>Đăng xuất khỏi tất cả thiết bị: revoke toàn bộ `auth_sessions` và refresh-token families của user.</x:v>
      </x:c>
      <x:c r="H14" s="30" t="str">
        <x:v>`H02-06 + V3.3`</x:v>
      </x:c>
      <x:c r="I14" s="30" t="str">
        <x:v>Hùng</x:v>
      </x:c>
      <x:c r="J14" s="30" t="str">
        <x:v>☐</x:v>
      </x:c>
      <x:c r="K14" s="30" t="str">
        <x:v>Chưa bắt đầu</x:v>
      </x:c>
      <x:c r="L14" s="40" t="n">
        <x:f>IF(J14="☑",1,IF(K14="Done",1,IF(K14="Đang làm",0.5,IF(K14="Blocked",0.25,0))))</x:f>
        <x:v>0</x:v>
      </x:c>
      <x:c r="M14" s="30" t="str"/>
      <x:c r="N14" s="30" t="str"/>
    </x:row>
    <x:row r="15">
      <x:c r="A15" s="30" t="str">
        <x:v>M01</x:v>
      </x:c>
      <x:c r="B15" s="30" t="str">
        <x:v>M01-F014</x:v>
      </x:c>
      <x:c r="C15" s="30" t="str">
        <x:v>P1</x:v>
      </x:c>
      <x:c r="D15" s="30" t="str">
        <x:v>MODIFY</x:v>
      </x:c>
      <x:c r="E15" s="30" t="str">
        <x:v>H-WP03</x:v>
      </x:c>
      <x:c r="F15" s="30" t="str">
        <x:v>Hùng</x:v>
      </x:c>
      <x:c r="G15" s="30" t="str">
        <x:v>Mỗi login/device có một server-side `auth_session` riêng với lifecycle ACTIVE/REVOKED/EXPIRED; hỗ trợ truy vấn và thu hồi từng phiên.</x:v>
      </x:c>
      <x:c r="H15" s="30" t="str">
        <x:v>`H02-07 + V3.3`</x:v>
      </x:c>
      <x:c r="I15" s="30" t="str">
        <x:v>Hùng</x:v>
      </x:c>
      <x:c r="J15" s="30" t="str">
        <x:v>☐</x:v>
      </x:c>
      <x:c r="K15" s="30" t="str">
        <x:v>Chưa bắt đầu</x:v>
      </x:c>
      <x:c r="L15" s="40" t="n">
        <x:f>IF(J15="☑",1,IF(K15="Done",1,IF(K15="Đang làm",0.5,IF(K15="Blocked",0.25,0))))</x:f>
        <x:v>0</x:v>
      </x:c>
      <x:c r="M15" s="30" t="str"/>
      <x:c r="N15" s="30" t="str"/>
    </x:row>
    <x:row r="16">
      <x:c r="A16" s="30" t="str">
        <x:v>M01</x:v>
      </x:c>
      <x:c r="B16" s="30" t="str">
        <x:v>M01-F015</x:v>
      </x:c>
      <x:c r="C16" s="30" t="str">
        <x:v>P0</x:v>
      </x:c>
      <x:c r="D16" s="30" t="str">
        <x:v>MODIFY</x:v>
      </x:c>
      <x:c r="E16" s="30" t="str">
        <x:v>H-WP04</x:v>
      </x:c>
      <x:c r="F16" s="30" t="str">
        <x:v>Hùng</x:v>
      </x:c>
      <x:c r="G16" s="30" t="str">
        <x:v>Xem hồ sơ gồm email, fullName, displayName, dateOfBirth, avatarUrl, emailVerified và roles; không hiển thị `username` vì MVP không có public handle unique.</x:v>
      </x:c>
      <x:c r="H16" s="30" t="str">
        <x:v>`H03-01 + MODSPEC-V1.3`</x:v>
      </x:c>
      <x:c r="I16" s="30" t="str">
        <x:v>Hùng</x:v>
      </x:c>
      <x:c r="J16" s="30" t="str">
        <x:v>☐</x:v>
      </x:c>
      <x:c r="K16" s="30" t="str">
        <x:v>Chưa bắt đầu</x:v>
      </x:c>
      <x:c r="L16" s="40" t="n">
        <x:f>IF(J16="☑",1,IF(K16="Done",1,IF(K16="Đang làm",0.5,IF(K16="Blocked",0.25,0))))</x:f>
        <x:v>0</x:v>
      </x:c>
      <x:c r="M16" s="30" t="str"/>
      <x:c r="N16" s="30" t="str"/>
    </x:row>
    <x:row r="17">
      <x:c r="A17" s="30" t="str">
        <x:v>M01</x:v>
      </x:c>
      <x:c r="B17" s="30" t="str">
        <x:v>M01-F016</x:v>
      </x:c>
      <x:c r="C17" s="30" t="str">
        <x:v>P0</x:v>
      </x:c>
      <x:c r="D17" s="30" t="str">
        <x:v>MODIFY</x:v>
      </x:c>
      <x:c r="E17" s="30" t="str">
        <x:v>H-WP04</x:v>
      </x:c>
      <x:c r="F17" s="30" t="str">
        <x:v>Hùng</x:v>
      </x:c>
      <x:c r="G17" s="30" t="str">
        <x:v>Đổi mật khẩu: xác minh current password + `PASSWORD_CHANGE` OTP challenge theo policy; sau đổi áp dụng revoke/rotate session và gửi security notification.</x:v>
      </x:c>
      <x:c r="H17" s="30" t="str">
        <x:v>`H03-02 + V3.3`</x:v>
      </x:c>
      <x:c r="I17" s="30" t="str">
        <x:v>Hùng</x:v>
      </x:c>
      <x:c r="J17" s="30" t="str">
        <x:v>☐</x:v>
      </x:c>
      <x:c r="K17" s="30" t="str">
        <x:v>Chưa bắt đầu</x:v>
      </x:c>
      <x:c r="L17" s="40" t="n">
        <x:f>IF(J17="☑",1,IF(K17="Done",1,IF(K17="Đang làm",0.5,IF(K17="Blocked",0.25,0))))</x:f>
        <x:v>0</x:v>
      </x:c>
      <x:c r="M17" s="30" t="str"/>
      <x:c r="N17" s="30" t="str"/>
    </x:row>
    <x:row r="18">
      <x:c r="A18" s="30" t="str">
        <x:v>M01</x:v>
      </x:c>
      <x:c r="B18" s="30" t="str">
        <x:v>M01-F017</x:v>
      </x:c>
      <x:c r="C18" s="30" t="str">
        <x:v>P1</x:v>
      </x:c>
      <x:c r="D18" s="30" t="str">
        <x:v>MODIFY</x:v>
      </x:c>
      <x:c r="E18" s="30" t="str">
        <x:v>H-WP04</x:v>
      </x:c>
      <x:c r="F18" s="30" t="str">
        <x:v>Hùng</x:v>
      </x:c>
      <x:c r="G18" s="30" t="str">
        <x:v>Cập nhật profile `fullName`, `displayName`, `dateOfBirth`, `avatarUrl` và hiển thị trạng thái email verification.</x:v>
      </x:c>
      <x:c r="H18" s="30" t="str">
        <x:v>`H03-03 + MODSPEC-V1.3`</x:v>
      </x:c>
      <x:c r="I18" s="30" t="str">
        <x:v>Hùng</x:v>
      </x:c>
      <x:c r="J18" s="30" t="str">
        <x:v>☐</x:v>
      </x:c>
      <x:c r="K18" s="30" t="str">
        <x:v>Chưa bắt đầu</x:v>
      </x:c>
      <x:c r="L18" s="40" t="n">
        <x:f>IF(J18="☑",1,IF(K18="Done",1,IF(K18="Đang làm",0.5,IF(K18="Blocked",0.25,0))))</x:f>
        <x:v>0</x:v>
      </x:c>
      <x:c r="M18" s="30" t="str"/>
      <x:c r="N18" s="30" t="str"/>
    </x:row>
    <x:row r="19">
      <x:c r="A19" s="30" t="str">
        <x:v>M01</x:v>
      </x:c>
      <x:c r="B19" s="30" t="str">
        <x:v>M01-F018</x:v>
      </x:c>
      <x:c r="C19" s="30" t="str">
        <x:v>P0</x:v>
      </x:c>
      <x:c r="D19" s="30" t="str">
        <x:v>MODIFY</x:v>
      </x:c>
      <x:c r="E19" s="30" t="str">
        <x:v>H-WP04</x:v>
      </x:c>
      <x:c r="F19" s="30" t="str">
        <x:v>Hùng</x:v>
      </x:c>
      <x:c r="G19" s="30" t="str">
        <x:v>Forgot/Reset Password bằng OTP challenge: response trung tính chống account enumeration; reset thành công đổi credential và revoke toàn bộ session/token family theo policy.</x:v>
      </x:c>
      <x:c r="H19" s="30" t="str">
        <x:v>`H03-04 + V3.3`</x:v>
      </x:c>
      <x:c r="I19" s="30" t="str">
        <x:v>Hùng</x:v>
      </x:c>
      <x:c r="J19" s="30" t="str">
        <x:v>☐</x:v>
      </x:c>
      <x:c r="K19" s="30" t="str">
        <x:v>Chưa bắt đầu</x:v>
      </x:c>
      <x:c r="L19" s="40" t="n">
        <x:f>IF(J19="☑",1,IF(K19="Done",1,IF(K19="Đang làm",0.5,IF(K19="Blocked",0.25,0))))</x:f>
        <x:v>0</x:v>
      </x:c>
      <x:c r="M19" s="30" t="str"/>
      <x:c r="N19" s="30" t="str"/>
    </x:row>
    <x:row r="20">
      <x:c r="A20" s="30" t="str">
        <x:v>M01</x:v>
      </x:c>
      <x:c r="B20" s="30" t="str">
        <x:v>M01-F019</x:v>
      </x:c>
      <x:c r="C20" s="30" t="str">
        <x:v>P0</x:v>
      </x:c>
      <x:c r="D20" s="30" t="str">
        <x:v>MODIFY</x:v>
      </x:c>
      <x:c r="E20" s="30" t="str">
        <x:v>H-WP02</x:v>
      </x:c>
      <x:c r="F20" s="30" t="str">
        <x:v>Hùng</x:v>
      </x:c>
      <x:c r="G20" s="30" t="str">
        <x:v>Chuẩn hoá mọi auth method (Local/Google/future provider) thành cùng `AuthResult` + `AccessContext`/`AuthenticatedPrincipal`; downstream không branch theo auth method.</x:v>
      </x:c>
      <x:c r="H20" s="30" t="str">
        <x:v>`H03-05 + V3.3`</x:v>
      </x:c>
      <x:c r="I20" s="30" t="str">
        <x:v>Hùng</x:v>
      </x:c>
      <x:c r="J20" s="30" t="str">
        <x:v>☐</x:v>
      </x:c>
      <x:c r="K20" s="30" t="str">
        <x:v>Chưa bắt đầu</x:v>
      </x:c>
      <x:c r="L20" s="40" t="n">
        <x:f>IF(J20="☑",1,IF(K20="Done",1,IF(K20="Đang làm",0.5,IF(K20="Blocked",0.25,0))))</x:f>
        <x:v>0</x:v>
      </x:c>
      <x:c r="M20" s="30" t="str"/>
      <x:c r="N20" s="30" t="str"/>
    </x:row>
    <x:row r="21">
      <x:c r="A21" s="30" t="str">
        <x:v>M01</x:v>
      </x:c>
      <x:c r="B21" s="30" t="str">
        <x:v>M01-F020</x:v>
      </x:c>
      <x:c r="C21" s="30" t="str">
        <x:v>P1</x:v>
      </x:c>
      <x:c r="D21" s="30" t="str">
        <x:v>MODIFY</x:v>
      </x:c>
      <x:c r="E21" s="30" t="str">
        <x:v>H-WP02</x:v>
      </x:c>
      <x:c r="F21" s="30" t="str">
        <x:v>Hùng</x:v>
      </x:c>
      <x:c r="G21" s="30" t="str">
        <x:v>Account linking có kiểm soát giữa Local credential và external identity; Google-only account có thể không có `local_credentials`.</x:v>
      </x:c>
      <x:c r="H21" s="30" t="str">
        <x:v>`H03-06 + V3.3`</x:v>
      </x:c>
      <x:c r="I21" s="30" t="str">
        <x:v>Hùng</x:v>
      </x:c>
      <x:c r="J21" s="30" t="str">
        <x:v>☐</x:v>
      </x:c>
      <x:c r="K21" s="30" t="str">
        <x:v>Chưa bắt đầu</x:v>
      </x:c>
      <x:c r="L21" s="40" t="n">
        <x:f>IF(J21="☑",1,IF(K21="Done",1,IF(K21="Đang làm",0.5,IF(K21="Blocked",0.25,0))))</x:f>
        <x:v>0</x:v>
      </x:c>
      <x:c r="M21" s="30" t="str"/>
      <x:c r="N21" s="30" t="str"/>
    </x:row>
    <x:row r="22">
      <x:c r="A22" s="30" t="str">
        <x:v>M01</x:v>
      </x:c>
      <x:c r="B22" s="30" t="str">
        <x:v>M01-F021</x:v>
      </x:c>
      <x:c r="C22" s="30" t="str">
        <x:v>P0</x:v>
      </x:c>
      <x:c r="D22" s="30" t="str">
        <x:v>MODIFY</x:v>
      </x:c>
      <x:c r="E22" s="30" t="str">
        <x:v>H-WP05</x:v>
      </x:c>
      <x:c r="F22" s="30" t="str">
        <x:v>Hùng</x:v>
      </x:c>
      <x:c r="G22" s="30" t="str">
        <x:v>RBAC với các role `USER`, `MODERATOR`, `ADMIN`; roles được đưa vào `AccessContext` và có thể phản ánh trong JWT claims.</x:v>
      </x:c>
      <x:c r="H22" s="30" t="str">
        <x:v>`H04-01 + MODSPEC-V1.3`</x:v>
      </x:c>
      <x:c r="I22" s="30" t="str">
        <x:v>Hùng</x:v>
      </x:c>
      <x:c r="J22" s="30" t="str">
        <x:v>☐</x:v>
      </x:c>
      <x:c r="K22" s="30" t="str">
        <x:v>Chưa bắt đầu</x:v>
      </x:c>
      <x:c r="L22" s="40" t="n">
        <x:f>IF(J22="☑",1,IF(K22="Done",1,IF(K22="Đang làm",0.5,IF(K22="Blocked",0.25,0))))</x:f>
        <x:v>0</x:v>
      </x:c>
      <x:c r="M22" s="30" t="str"/>
      <x:c r="N22" s="30" t="str"/>
    </x:row>
    <x:row r="23">
      <x:c r="A23" s="30" t="str">
        <x:v>M01</x:v>
      </x:c>
      <x:c r="B23" s="30" t="str">
        <x:v>M01-F022</x:v>
      </x:c>
      <x:c r="C23" s="30" t="str">
        <x:v>P0</x:v>
      </x:c>
      <x:c r="D23" s="30" t="str">
        <x:v>MODIFY</x:v>
      </x:c>
      <x:c r="E23" s="30" t="str">
        <x:v>H-WP05</x:v>
      </x:c>
      <x:c r="F23" s="30" t="str">
        <x:v>Hùng</x:v>
      </x:c>
      <x:c r="G23" s="30" t="str">
        <x:v>Bảo vệ toàn bộ route/admin operation bằng backend authorization/RBAC; unauthorized trả 401/403 chuẩn hoá.</x:v>
      </x:c>
      <x:c r="H23" s="30" t="str">
        <x:v>`H04-02 + MODSPEC-V1.3`</x:v>
      </x:c>
      <x:c r="I23" s="30" t="str">
        <x:v>Hùng</x:v>
      </x:c>
      <x:c r="J23" s="30" t="str">
        <x:v>☐</x:v>
      </x:c>
      <x:c r="K23" s="30" t="str">
        <x:v>Chưa bắt đầu</x:v>
      </x:c>
      <x:c r="L23" s="40" t="n">
        <x:f>IF(J23="☑",1,IF(K23="Done",1,IF(K23="Đang làm",0.5,IF(K23="Blocked",0.25,0))))</x:f>
        <x:v>0</x:v>
      </x:c>
      <x:c r="M23" s="30" t="str"/>
      <x:c r="N23" s="30" t="str"/>
    </x:row>
    <x:row r="24">
      <x:c r="A24" s="30" t="str">
        <x:v>M01</x:v>
      </x:c>
      <x:c r="B24" s="30" t="str">
        <x:v>M01-F023</x:v>
      </x:c>
      <x:c r="C24" s="30" t="str">
        <x:v>P0</x:v>
      </x:c>
      <x:c r="D24" s="30" t="str">
        <x:v>MODIFY</x:v>
      </x:c>
      <x:c r="E24" s="30" t="str">
        <x:v>H-WP05</x:v>
      </x:c>
      <x:c r="F24" s="30" t="str">
        <x:v>Hùng</x:v>
      </x:c>
      <x:c r="G24" s="30" t="str">
        <x:v>Route guard phía Next.js/Admin Dashboard để ẩn/chặn UI trái quyền; backend vẫn là nguồn quyết định authorization cuối.</x:v>
      </x:c>
      <x:c r="H24" s="30" t="str">
        <x:v>`H04-03 + MODSPEC-V1.3`</x:v>
      </x:c>
      <x:c r="I24" s="30" t="str">
        <x:v>Hùng</x:v>
      </x:c>
      <x:c r="J24" s="30" t="str">
        <x:v>☐</x:v>
      </x:c>
      <x:c r="K24" s="30" t="str">
        <x:v>Chưa bắt đầu</x:v>
      </x:c>
      <x:c r="L24" s="40" t="n">
        <x:f>IF(J24="☑",1,IF(K24="Done",1,IF(K24="Đang làm",0.5,IF(K24="Blocked",0.25,0))))</x:f>
        <x:v>0</x:v>
      </x:c>
      <x:c r="M24" s="30" t="str"/>
      <x:c r="N24" s="30" t="str"/>
    </x:row>
    <x:row r="25">
      <x:c r="A25" s="30" t="str">
        <x:v>M01</x:v>
      </x:c>
      <x:c r="B25" s="30" t="str">
        <x:v>M01-F024</x:v>
      </x:c>
      <x:c r="C25" s="30" t="str">
        <x:v>P1</x:v>
      </x:c>
      <x:c r="D25" s="30" t="str">
        <x:v>MODIFY</x:v>
      </x:c>
      <x:c r="E25" s="30" t="str">
        <x:v>H-WP05</x:v>
      </x:c>
      <x:c r="F25" s="30" t="str">
        <x:v>Hùng</x:v>
      </x:c>
      <x:c r="G25" s="30" t="str">
        <x:v>Vai trò `MODERATOR` được quyền moderation theo policy nhưng không mặc định có quyền sửa rule/risk policy.</x:v>
      </x:c>
      <x:c r="H25" s="30" t="str">
        <x:v>`H04-04 + MODSPEC-V1.3`</x:v>
      </x:c>
      <x:c r="I25" s="30" t="str">
        <x:v>Hùng</x:v>
      </x:c>
      <x:c r="J25" s="30" t="str">
        <x:v>☐</x:v>
      </x:c>
      <x:c r="K25" s="30" t="str">
        <x:v>Chưa bắt đầu</x:v>
      </x:c>
      <x:c r="L25" s="40" t="n">
        <x:f>IF(J25="☑",1,IF(K25="Done",1,IF(K25="Đang làm",0.5,IF(K25="Blocked",0.25,0))))</x:f>
        <x:v>0</x:v>
      </x:c>
      <x:c r="M25" s="30" t="str"/>
      <x:c r="N25" s="30" t="str"/>
    </x:row>
    <x:row r="26">
      <x:c r="A26" s="30" t="str">
        <x:v>M01</x:v>
      </x:c>
      <x:c r="B26" s="30" t="str">
        <x:v>M01-F025</x:v>
      </x:c>
      <x:c r="C26" s="30" t="str">
        <x:v>P1</x:v>
      </x:c>
      <x:c r="D26" s="30" t="str">
        <x:v>KEEP</x:v>
      </x:c>
      <x:c r="E26" s="30" t="str">
        <x:v>H-WP05</x:v>
      </x:c>
      <x:c r="F26" s="30" t="str">
        <x:v>Hùng</x:v>
      </x:c>
      <x:c r="G26" s="30" t="str">
        <x:v>Trang quản lý người dùng cho admin (danh sách, phân trang, lọc theo vai trò/trạng thái)</x:v>
      </x:c>
      <x:c r="H26" s="30" t="str">
        <x:v>`H04-05`</x:v>
      </x:c>
      <x:c r="I26" s="30" t="str">
        <x:v>Hùng</x:v>
      </x:c>
      <x:c r="J26" s="30" t="str">
        <x:v>☐</x:v>
      </x:c>
      <x:c r="K26" s="30" t="str">
        <x:v>Chưa bắt đầu</x:v>
      </x:c>
      <x:c r="L26" s="40" t="n">
        <x:f>IF(J26="☑",1,IF(K26="Done",1,IF(K26="Đang làm",0.5,IF(K26="Blocked",0.25,0))))</x:f>
        <x:v>0</x:v>
      </x:c>
      <x:c r="M26" s="30" t="str"/>
      <x:c r="N26" s="30" t="str"/>
    </x:row>
    <x:row r="27">
      <x:c r="A27" s="30" t="str">
        <x:v>M01</x:v>
      </x:c>
      <x:c r="B27" s="30" t="str">
        <x:v>M01-F026</x:v>
      </x:c>
      <x:c r="C27" s="30" t="str">
        <x:v>P1</x:v>
      </x:c>
      <x:c r="D27" s="30" t="str">
        <x:v>KEEP</x:v>
      </x:c>
      <x:c r="E27" s="30" t="str">
        <x:v>H-WP05</x:v>
      </x:c>
      <x:c r="F27" s="30" t="str">
        <x:v>Hùng</x:v>
      </x:c>
      <x:c r="G27" s="30" t="str">
        <x:v>Khoá / mở khoá tài khoản, kèm lý do</x:v>
      </x:c>
      <x:c r="H27" s="30" t="str">
        <x:v>`H04-06`</x:v>
      </x:c>
      <x:c r="I27" s="30" t="str">
        <x:v>Hùng</x:v>
      </x:c>
      <x:c r="J27" s="30" t="str">
        <x:v>☐</x:v>
      </x:c>
      <x:c r="K27" s="30" t="str">
        <x:v>Chưa bắt đầu</x:v>
      </x:c>
      <x:c r="L27" s="40" t="n">
        <x:f>IF(J27="☑",1,IF(K27="Done",1,IF(K27="Đang làm",0.5,IF(K27="Blocked",0.25,0))))</x:f>
        <x:v>0</x:v>
      </x:c>
      <x:c r="M27" s="30" t="str"/>
      <x:c r="N27" s="30" t="str"/>
    </x:row>
    <x:row r="28">
      <x:c r="A28" s="30" t="str">
        <x:v>M01</x:v>
      </x:c>
      <x:c r="B28" s="30" t="str">
        <x:v>M01-F027</x:v>
      </x:c>
      <x:c r="C28" s="30" t="str">
        <x:v>P2</x:v>
      </x:c>
      <x:c r="D28" s="30" t="str">
        <x:v>KEEP</x:v>
      </x:c>
      <x:c r="E28" s="30" t="str">
        <x:v>H-WP05</x:v>
      </x:c>
      <x:c r="F28" s="30" t="str">
        <x:v>Hùng</x:v>
      </x:c>
      <x:c r="G28" s="30" t="str">
        <x:v>Phân quyền chi tiết theo permission thay vì theo vai trò</x:v>
      </x:c>
      <x:c r="H28" s="30" t="str">
        <x:v>`H04-07`</x:v>
      </x:c>
      <x:c r="I28" s="30" t="str">
        <x:v>Hùng</x:v>
      </x:c>
      <x:c r="J28" s="30" t="str">
        <x:v>☐</x:v>
      </x:c>
      <x:c r="K28" s="30" t="str">
        <x:v>Chưa bắt đầu</x:v>
      </x:c>
      <x:c r="L28" s="40" t="n">
        <x:f>IF(J28="☑",1,IF(K28="Done",1,IF(K28="Đang làm",0.5,IF(K28="Blocked",0.25,0))))</x:f>
        <x:v>0</x:v>
      </x:c>
      <x:c r="M28" s="30" t="str"/>
      <x:c r="N28" s="30" t="str"/>
    </x:row>
    <x:row r="29">
      <x:c r="A29" s="30" t="str">
        <x:v>M01</x:v>
      </x:c>
      <x:c r="B29" s="30" t="str">
        <x:v>M01-F028</x:v>
      </x:c>
      <x:c r="C29" s="30" t="str">
        <x:v>P1</x:v>
      </x:c>
      <x:c r="D29" s="30" t="str">
        <x:v>KEEP</x:v>
      </x:c>
      <x:c r="E29" s="30" t="str">
        <x:v>H-WP06</x:v>
      </x:c>
      <x:c r="F29" s="30" t="str">
        <x:v>Hùng</x:v>
      </x:c>
      <x:c r="G29" s="30" t="str">
        <x:v>Xác thực hai lớp bằng TOTP (Google Authenticator)</x:v>
      </x:c>
      <x:c r="H29" s="30" t="str">
        <x:v>`H06-01`</x:v>
      </x:c>
      <x:c r="I29" s="30" t="str">
        <x:v>Hùng</x:v>
      </x:c>
      <x:c r="J29" s="30" t="str">
        <x:v>☐</x:v>
      </x:c>
      <x:c r="K29" s="30" t="str">
        <x:v>Chưa bắt đầu</x:v>
      </x:c>
      <x:c r="L29" s="40" t="n">
        <x:f>IF(J29="☑",1,IF(K29="Done",1,IF(K29="Đang làm",0.5,IF(K29="Blocked",0.25,0))))</x:f>
        <x:v>0</x:v>
      </x:c>
      <x:c r="M29" s="30" t="str"/>
      <x:c r="N29" s="30" t="str"/>
    </x:row>
    <x:row r="30">
      <x:c r="A30" s="30" t="str">
        <x:v>M01</x:v>
      </x:c>
      <x:c r="B30" s="30" t="str">
        <x:v>M01-F029</x:v>
      </x:c>
      <x:c r="C30" s="30" t="str">
        <x:v>P1</x:v>
      </x:c>
      <x:c r="D30" s="30" t="str">
        <x:v>MODIFY</x:v>
      </x:c>
      <x:c r="E30" s="30" t="str">
        <x:v>H-WP06</x:v>
      </x:c>
      <x:c r="F30" s="30" t="str">
        <x:v>Hùng</x:v>
      </x:c>
      <x:c r="G30" s="30" t="str">
        <x:v>UI/API quản lý danh sách phiên đăng nhập theo thiết bị/login và thu hồi một `auth_session` cụ thể.</x:v>
      </x:c>
      <x:c r="H30" s="30" t="str">
        <x:v>`H06-02 + V3.3`</x:v>
      </x:c>
      <x:c r="I30" s="30" t="str">
        <x:v>Hùng</x:v>
      </x:c>
      <x:c r="J30" s="30" t="str">
        <x:v>☐</x:v>
      </x:c>
      <x:c r="K30" s="30" t="str">
        <x:v>Chưa bắt đầu</x:v>
      </x:c>
      <x:c r="L30" s="40" t="n">
        <x:f>IF(J30="☑",1,IF(K30="Done",1,IF(K30="Đang làm",0.5,IF(K30="Blocked",0.25,0))))</x:f>
        <x:v>0</x:v>
      </x:c>
      <x:c r="M30" s="30" t="str"/>
      <x:c r="N30" s="30" t="str"/>
    </x:row>
    <x:row r="31">
      <x:c r="A31" s="30" t="str">
        <x:v>M01</x:v>
      </x:c>
      <x:c r="B31" s="30" t="str">
        <x:v>M01-F030</x:v>
      </x:c>
      <x:c r="C31" s="30" t="str">
        <x:v>P1</x:v>
      </x:c>
      <x:c r="D31" s="30" t="str">
        <x:v>MODIFY</x:v>
      </x:c>
      <x:c r="E31" s="30" t="str">
        <x:v>H-WP06</x:v>
      </x:c>
      <x:c r="F31" s="30" t="str">
        <x:v>Hùng</x:v>
      </x:c>
      <x:c r="G31" s="30" t="str">
        <x:v>Security notification khi password thay đổi, phát hiện token reuse hoặc sự kiện đăng nhập đáng chú ý; việc delivery thuộc M10.</x:v>
      </x:c>
      <x:c r="H31" s="30" t="str">
        <x:v>`H06-03 + V3.3`</x:v>
      </x:c>
      <x:c r="I31" s="30" t="str">
        <x:v>Hùng</x:v>
      </x:c>
      <x:c r="J31" s="30" t="str">
        <x:v>☐</x:v>
      </x:c>
      <x:c r="K31" s="30" t="str">
        <x:v>Chưa bắt đầu</x:v>
      </x:c>
      <x:c r="L31" s="40" t="n">
        <x:f>IF(J31="☑",1,IF(K31="Done",1,IF(K31="Đang làm",0.5,IF(K31="Blocked",0.25,0))))</x:f>
        <x:v>0</x:v>
      </x:c>
      <x:c r="M31" s="30" t="str"/>
      <x:c r="N31" s="30" t="str"/>
    </x:row>
    <x:row r="32">
      <x:c r="A32" s="30" t="str">
        <x:v>M01</x:v>
      </x:c>
      <x:c r="B32" s="30" t="str">
        <x:v>M01-F031</x:v>
      </x:c>
      <x:c r="C32" s="30" t="str">
        <x:v>P2</x:v>
      </x:c>
      <x:c r="D32" s="30" t="str">
        <x:v>KEEP</x:v>
      </x:c>
      <x:c r="E32" s="30" t="str">
        <x:v>H-WP06</x:v>
      </x:c>
      <x:c r="F32" s="30" t="str">
        <x:v>Hùng</x:v>
      </x:c>
      <x:c r="G32" s="30" t="str">
        <x:v>Mã khôi phục dự phòng khi mất thiết bị 2FA</x:v>
      </x:c>
      <x:c r="H32" s="30" t="str">
        <x:v>`H06-04`</x:v>
      </x:c>
      <x:c r="I32" s="30" t="str">
        <x:v>Hùng</x:v>
      </x:c>
      <x:c r="J32" s="30" t="str">
        <x:v>☐</x:v>
      </x:c>
      <x:c r="K32" s="30" t="str">
        <x:v>Chưa bắt đầu</x:v>
      </x:c>
      <x:c r="L32" s="40" t="n">
        <x:f>IF(J32="☑",1,IF(K32="Done",1,IF(K32="Đang làm",0.5,IF(K32="Blocked",0.25,0))))</x:f>
        <x:v>0</x:v>
      </x:c>
      <x:c r="M32" s="30" t="str"/>
      <x:c r="N32" s="30" t="str"/>
    </x:row>
    <x:row r="33">
      <x:c r="A33" s="30" t="str">
        <x:v>M01</x:v>
      </x:c>
      <x:c r="B33" s="30" t="str">
        <x:v>M01-F032</x:v>
      </x:c>
      <x:c r="C33" s="30" t="str">
        <x:v>P2</x:v>
      </x:c>
      <x:c r="D33" s="30" t="str">
        <x:v>KEEP</x:v>
      </x:c>
      <x:c r="E33" s="30" t="str">
        <x:v>H-WP06</x:v>
      </x:c>
      <x:c r="F33" s="30" t="str">
        <x:v>Hùng</x:v>
      </x:c>
      <x:c r="G33" s="30" t="str">
        <x:v>Đăng nhập sinh trắc học trên mobile (Face ID / vân tay)</x:v>
      </x:c>
      <x:c r="H33" s="30" t="str">
        <x:v>`H06-05`</x:v>
      </x:c>
      <x:c r="I33" s="30" t="str">
        <x:v>Hùng</x:v>
      </x:c>
      <x:c r="J33" s="30" t="str">
        <x:v>☐</x:v>
      </x:c>
      <x:c r="K33" s="30" t="str">
        <x:v>Chưa bắt đầu</x:v>
      </x:c>
      <x:c r="L33" s="40" t="n">
        <x:f>IF(J33="☑",1,IF(K33="Done",1,IF(K33="Đang làm",0.5,IF(K33="Blocked",0.25,0))))</x:f>
        <x:v>0</x:v>
      </x:c>
      <x:c r="M33" s="30" t="str"/>
      <x:c r="N33" s="30" t="str"/>
    </x:row>
    <x:row r="34">
      <x:c r="A34" s="30" t="str">
        <x:v>M01</x:v>
      </x:c>
      <x:c r="B34" s="30" t="str">
        <x:v>M01-F033</x:v>
      </x:c>
      <x:c r="C34" s="30" t="str">
        <x:v>P2</x:v>
      </x:c>
      <x:c r="D34" s="30" t="str">
        <x:v>KEEP</x:v>
      </x:c>
      <x:c r="E34" s="30" t="str">
        <x:v>H-WP06</x:v>
      </x:c>
      <x:c r="F34" s="30" t="str">
        <x:v>Hùng</x:v>
      </x:c>
      <x:c r="G34" s="30" t="str">
        <x:v>Kiểm tra mật khẩu có nằm trong danh sách rò rỉ đã biết (k-anonymity)</x:v>
      </x:c>
      <x:c r="H34" s="30" t="str">
        <x:v>`H06-06`</x:v>
      </x:c>
      <x:c r="I34" s="30" t="str">
        <x:v>Hùng</x:v>
      </x:c>
      <x:c r="J34" s="30" t="str">
        <x:v>☐</x:v>
      </x:c>
      <x:c r="K34" s="30" t="str">
        <x:v>Chưa bắt đầu</x:v>
      </x:c>
      <x:c r="L34" s="40" t="n">
        <x:f>IF(J34="☑",1,IF(K34="Done",1,IF(K34="Đang làm",0.5,IF(K34="Blocked",0.25,0))))</x:f>
        <x:v>0</x:v>
      </x:c>
      <x:c r="M34" s="30" t="str"/>
      <x:c r="N34" s="30" t="str"/>
    </x:row>
    <x:row r="35">
      <x:c r="A35" s="30" t="str">
        <x:v>M01</x:v>
      </x:c>
      <x:c r="B35" s="30" t="str">
        <x:v>M01-F034</x:v>
      </x:c>
      <x:c r="C35" s="30" t="str">
        <x:v>P0</x:v>
      </x:c>
      <x:c r="D35" s="30" t="str">
        <x:v>KEEP</x:v>
      </x:c>
      <x:c r="E35" s="30" t="str">
        <x:v>H-WP07</x:v>
      </x:c>
      <x:c r="F35" s="30" t="str">
        <x:v>Hùng</x:v>
      </x:c>
      <x:c r="G35" s="30" t="str">
        <x:v>Rate limit đăng nhập: 5 lần sai / IP / 15 phút, sau đó khoá 15 phút</x:v>
      </x:c>
      <x:c r="H35" s="30" t="str">
        <x:v>`H07-01`</x:v>
      </x:c>
      <x:c r="I35" s="30" t="str">
        <x:v>Hùng</x:v>
      </x:c>
      <x:c r="J35" s="30" t="str">
        <x:v>☐</x:v>
      </x:c>
      <x:c r="K35" s="30" t="str">
        <x:v>Chưa bắt đầu</x:v>
      </x:c>
      <x:c r="L35" s="40" t="n">
        <x:f>IF(J35="☑",1,IF(K35="Done",1,IF(K35="Đang làm",0.5,IF(K35="Blocked",0.25,0))))</x:f>
        <x:v>0</x:v>
      </x:c>
      <x:c r="M35" s="30" t="str"/>
      <x:c r="N35" s="30" t="str"/>
    </x:row>
    <x:row r="36">
      <x:c r="A36" s="30" t="str">
        <x:v>M01</x:v>
      </x:c>
      <x:c r="B36" s="30" t="str">
        <x:v>M01-F035</x:v>
      </x:c>
      <x:c r="C36" s="30" t="str">
        <x:v>P0</x:v>
      </x:c>
      <x:c r="D36" s="30" t="str">
        <x:v>KEEP</x:v>
      </x:c>
      <x:c r="E36" s="30" t="str">
        <x:v>H-WP07</x:v>
      </x:c>
      <x:c r="F36" s="30" t="str">
        <x:v>Hùng</x:v>
      </x:c>
      <x:c r="G36" s="30" t="str">
        <x:v>Rate limit đăng ký: 5 request / phút / IP</x:v>
      </x:c>
      <x:c r="H36" s="30" t="str">
        <x:v>`H07-02`</x:v>
      </x:c>
      <x:c r="I36" s="30" t="str">
        <x:v>Hùng</x:v>
      </x:c>
      <x:c r="J36" s="30" t="str">
        <x:v>☐</x:v>
      </x:c>
      <x:c r="K36" s="30" t="str">
        <x:v>Chưa bắt đầu</x:v>
      </x:c>
      <x:c r="L36" s="40" t="n">
        <x:f>IF(J36="☑",1,IF(K36="Done",1,IF(K36="Đang làm",0.5,IF(K36="Blocked",0.25,0))))</x:f>
        <x:v>0</x:v>
      </x:c>
      <x:c r="M36" s="30" t="str"/>
      <x:c r="N36" s="30" t="str"/>
    </x:row>
    <x:row r="37">
      <x:c r="A37" s="30" t="str">
        <x:v>M01</x:v>
      </x:c>
      <x:c r="B37" s="30" t="str">
        <x:v>M01-F036</x:v>
      </x:c>
      <x:c r="C37" s="30" t="str">
        <x:v>P0</x:v>
      </x:c>
      <x:c r="D37" s="30" t="str">
        <x:v>MODIFY</x:v>
      </x:c>
      <x:c r="E37" s="30" t="str">
        <x:v>H-WP07</x:v>
      </x:c>
      <x:c r="F37" s="30" t="str">
        <x:v>Hùng</x:v>
      </x:c>
      <x:c r="G37" s="30" t="str">
        <x:v>Business quota theo `AccessContext`: guest quota thấp hơn authenticated user; Nginx chỉ làm coarse IP/flood limiting.</x:v>
      </x:c>
      <x:c r="H37" s="30" t="str">
        <x:v>`H07-03 + V3.3`</x:v>
      </x:c>
      <x:c r="I37" s="30" t="str">
        <x:v>Hùng</x:v>
      </x:c>
      <x:c r="J37" s="30" t="str">
        <x:v>☐</x:v>
      </x:c>
      <x:c r="K37" s="30" t="str">
        <x:v>Chưa bắt đầu</x:v>
      </x:c>
      <x:c r="L37" s="40" t="n">
        <x:f>IF(J37="☑",1,IF(K37="Done",1,IF(K37="Đang làm",0.5,IF(K37="Blocked",0.25,0))))</x:f>
        <x:v>0</x:v>
      </x:c>
      <x:c r="M37" s="30" t="str"/>
      <x:c r="N37" s="30" t="str"/>
    </x:row>
    <x:row r="38">
      <x:c r="A38" s="30" t="str">
        <x:v>M01</x:v>
      </x:c>
      <x:c r="B38" s="30" t="str">
        <x:v>M01-F037</x:v>
      </x:c>
      <x:c r="C38" s="30" t="str">
        <x:v>P2</x:v>
      </x:c>
      <x:c r="D38" s="30" t="str">
        <x:v>KEEP</x:v>
      </x:c>
      <x:c r="E38" s="30" t="str">
        <x:v>H-WP07</x:v>
      </x:c>
      <x:c r="F38" s="30" t="str">
        <x:v>Hùng</x:v>
      </x:c>
      <x:c r="G38" s="30" t="str">
        <x:v>CAPTCHA khi vượt ngưỡng nghi ngờ</x:v>
      </x:c>
      <x:c r="H38" s="30" t="str">
        <x:v>`H07-07`</x:v>
      </x:c>
      <x:c r="I38" s="30" t="str">
        <x:v>Hùng</x:v>
      </x:c>
      <x:c r="J38" s="30" t="str">
        <x:v>☐</x:v>
      </x:c>
      <x:c r="K38" s="30" t="str">
        <x:v>Chưa bắt đầu</x:v>
      </x:c>
      <x:c r="L38" s="40" t="n">
        <x:f>IF(J38="☑",1,IF(K38="Done",1,IF(K38="Đang làm",0.5,IF(K38="Blocked",0.25,0))))</x:f>
        <x:v>0</x:v>
      </x:c>
      <x:c r="M38" s="30" t="str"/>
      <x:c r="N38" s="30" t="str"/>
    </x:row>
    <x:row r="39">
      <x:c r="A39" s="30" t="str">
        <x:v>M01</x:v>
      </x:c>
      <x:c r="B39" s="30" t="str">
        <x:v>M01-F038</x:v>
      </x:c>
      <x:c r="C39" s="30" t="str">
        <x:v>P1</x:v>
      </x:c>
      <x:c r="D39" s="30" t="str">
        <x:v>KEEP</x:v>
      </x:c>
      <x:c r="E39" s="30" t="str">
        <x:v>H-WP04</x:v>
      </x:c>
      <x:c r="F39" s="30" t="str">
        <x:v>Hùng</x:v>
      </x:c>
      <x:c r="G39" s="30" t="str">
        <x:v>Xuất toàn bộ dữ liệu cá nhân theo yêu cầu (data portability)</x:v>
      </x:c>
      <x:c r="H39" s="30" t="str">
        <x:v>`H08-05`</x:v>
      </x:c>
      <x:c r="I39" s="30" t="str">
        <x:v>Hùng</x:v>
      </x:c>
      <x:c r="J39" s="30" t="str">
        <x:v>☐</x:v>
      </x:c>
      <x:c r="K39" s="30" t="str">
        <x:v>Chưa bắt đầu</x:v>
      </x:c>
      <x:c r="L39" s="40" t="n">
        <x:f>IF(J39="☑",1,IF(K39="Done",1,IF(K39="Đang làm",0.5,IF(K39="Blocked",0.25,0))))</x:f>
        <x:v>0</x:v>
      </x:c>
      <x:c r="M39" s="30" t="str"/>
      <x:c r="N39" s="30" t="str"/>
    </x:row>
    <x:row r="40">
      <x:c r="A40" s="30" t="str">
        <x:v>M01</x:v>
      </x:c>
      <x:c r="B40" s="30" t="str">
        <x:v>M01-F039</x:v>
      </x:c>
      <x:c r="C40" s="30" t="str">
        <x:v>P1</x:v>
      </x:c>
      <x:c r="D40" s="30" t="str">
        <x:v>KEEP</x:v>
      </x:c>
      <x:c r="E40" s="30" t="str">
        <x:v>H-WP04</x:v>
      </x:c>
      <x:c r="F40" s="30" t="str">
        <x:v>Hùng</x:v>
      </x:c>
      <x:c r="G40" s="30" t="str">
        <x:v>Xoá tài khoản kèm xoá/ẩn danh toàn bộ dữ liệu liên quan</x:v>
      </x:c>
      <x:c r="H40" s="30" t="str">
        <x:v>`H08-06`</x:v>
      </x:c>
      <x:c r="I40" s="30" t="str">
        <x:v>Hùng</x:v>
      </x:c>
      <x:c r="J40" s="30" t="str">
        <x:v>☐</x:v>
      </x:c>
      <x:c r="K40" s="30" t="str">
        <x:v>Chưa bắt đầu</x:v>
      </x:c>
      <x:c r="L40" s="40" t="n">
        <x:f>IF(J40="☑",1,IF(K40="Done",1,IF(K40="Đang làm",0.5,IF(K40="Blocked",0.25,0))))</x:f>
        <x:v>0</x:v>
      </x:c>
      <x:c r="M40" s="30" t="str"/>
      <x:c r="N40" s="30" t="str"/>
    </x:row>
    <x:row r="41">
      <x:c r="A41" s="30" t="str">
        <x:v>M01</x:v>
      </x:c>
      <x:c r="B41" s="30" t="str">
        <x:v>M01-F040</x:v>
      </x:c>
      <x:c r="C41" s="30" t="str">
        <x:v>P2</x:v>
      </x:c>
      <x:c r="D41" s="30" t="str">
        <x:v>KEEP</x:v>
      </x:c>
      <x:c r="E41" s="30" t="str">
        <x:v>H-WP04</x:v>
      </x:c>
      <x:c r="F41" s="30" t="str">
        <x:v>Hùng</x:v>
      </x:c>
      <x:c r="G41" s="30" t="str">
        <x:v>Trang chính sách quyền riêng tư kèm nhật ký thay đổi</x:v>
      </x:c>
      <x:c r="H41" s="30" t="str">
        <x:v>`H08-07`</x:v>
      </x:c>
      <x:c r="I41" s="30" t="str">
        <x:v>Hùng</x:v>
      </x:c>
      <x:c r="J41" s="30" t="str">
        <x:v>☐</x:v>
      </x:c>
      <x:c r="K41" s="30" t="str">
        <x:v>Chưa bắt đầu</x:v>
      </x:c>
      <x:c r="L41" s="40" t="n">
        <x:f>IF(J41="☑",1,IF(K41="Done",1,IF(K41="Đang làm",0.5,IF(K41="Blocked",0.25,0))))</x:f>
        <x:v>0</x:v>
      </x:c>
      <x:c r="M41" s="30" t="str"/>
      <x:c r="N41" s="30" t="str"/>
    </x:row>
    <x:row r="42">
      <x:c r="A42" s="30" t="str">
        <x:v>M01</x:v>
      </x:c>
      <x:c r="B42" s="30" t="str">
        <x:v>M01-F041</x:v>
      </x:c>
      <x:c r="C42" s="30" t="str">
        <x:v>P0</x:v>
      </x:c>
      <x:c r="D42" s="30" t="str">
        <x:v>MODIFY</x:v>
      </x:c>
      <x:c r="E42" s="30" t="str">
        <x:v>H-WP03</x:v>
      </x:c>
      <x:c r="F42" s="30" t="str">
        <x:v>Hùng</x:v>
      </x:c>
      <x:c r="G42" s="30" t="str">
        <x:v>Token storage client: Web giữ access token ưu tiên trong memory và refresh credential qua `HttpOnly + Secure + SameSite` cookie; Mobile giữ refresh credential trong Keychain/Keystore/secure storage, không dùng localStorage/AsyncStorage thường.</x:v>
      </x:c>
      <x:c r="H42" s="30" t="str">
        <x:v>`T11-01 + V3.3`</x:v>
      </x:c>
      <x:c r="I42" s="30" t="str">
        <x:v>Thắng</x:v>
      </x:c>
      <x:c r="J42" s="30" t="str">
        <x:v>☐</x:v>
      </x:c>
      <x:c r="K42" s="30" t="str">
        <x:v>Chưa bắt đầu</x:v>
      </x:c>
      <x:c r="L42" s="40" t="n">
        <x:f>IF(J42="☑",1,IF(K42="Done",1,IF(K42="Đang làm",0.5,IF(K42="Blocked",0.25,0))))</x:f>
        <x:v>0</x:v>
      </x:c>
      <x:c r="M42" s="30" t="str"/>
      <x:c r="N42" s="30" t="str"/>
    </x:row>
    <x:row r="43">
      <x:c r="A43" s="30" t="str">
        <x:v>M02</x:v>
      </x:c>
      <x:c r="B43" s="30" t="str">
        <x:v>M02-F001</x:v>
      </x:c>
      <x:c r="C43" s="30" t="str">
        <x:v>P0</x:v>
      </x:c>
      <x:c r="D43" s="30" t="str">
        <x:v>MODIFY</x:v>
      </x:c>
      <x:c r="E43" s="30" t="str">
        <x:v>K-WP01</x:v>
      </x:c>
      <x:c r="F43" s="30" t="str">
        <x:v>Khải</x:v>
      </x:c>
      <x:c r="G43" s="30" t="str">
        <x:v>`POST /v1/scans/url`: cache hit có thể trả cached `RiskResult`; cache miss tạo `ScanRequest`, publish `scan.url.requested` và trả `202 + scanId`.</x:v>
      </x:c>
      <x:c r="H43" s="30" t="str">
        <x:v>`K01-01`</x:v>
      </x:c>
      <x:c r="I43" s="30" t="str">
        <x:v>Khải</x:v>
      </x:c>
      <x:c r="J43" s="30" t="str">
        <x:v>☐</x:v>
      </x:c>
      <x:c r="K43" s="30" t="str">
        <x:v>Chưa bắt đầu</x:v>
      </x:c>
      <x:c r="L43" s="40" t="n">
        <x:f>IF(J43="☑",1,IF(K43="Done",1,IF(K43="Đang làm",0.5,IF(K43="Blocked",0.25,0))))</x:f>
        <x:v>0</x:v>
      </x:c>
      <x:c r="M43" s="30" t="str"/>
      <x:c r="N43" s="30" t="str"/>
    </x:row>
    <x:row r="44">
      <x:c r="A44" s="30" t="str">
        <x:v>M02</x:v>
      </x:c>
      <x:c r="B44" s="30" t="str">
        <x:v>M02-F002</x:v>
      </x:c>
      <x:c r="C44" s="30" t="str">
        <x:v>P0</x:v>
      </x:c>
      <x:c r="D44" s="30" t="str">
        <x:v>KEEP</x:v>
      </x:c>
      <x:c r="E44" s="30" t="str">
        <x:v>K-WP01</x:v>
      </x:c>
      <x:c r="F44" s="30" t="str">
        <x:v>Khải</x:v>
      </x:c>
      <x:c r="G44" s="30" t="str">
        <x:v>Chuẩn hoá URL: thêm scheme, hạ chữ thường host, bỏ port mặc định, sắp xếp query</x:v>
      </x:c>
      <x:c r="H44" s="30" t="str">
        <x:v>`K01-02`</x:v>
      </x:c>
      <x:c r="I44" s="30" t="str">
        <x:v>Khải</x:v>
      </x:c>
      <x:c r="J44" s="30" t="str">
        <x:v>☐</x:v>
      </x:c>
      <x:c r="K44" s="30" t="str">
        <x:v>Chưa bắt đầu</x:v>
      </x:c>
      <x:c r="L44" s="40" t="n">
        <x:f>IF(J44="☑",1,IF(K44="Done",1,IF(K44="Đang làm",0.5,IF(K44="Blocked",0.25,0))))</x:f>
        <x:v>0</x:v>
      </x:c>
      <x:c r="M44" s="30" t="str"/>
      <x:c r="N44" s="30" t="str"/>
    </x:row>
    <x:row r="45">
      <x:c r="A45" s="30" t="str">
        <x:v>M02</x:v>
      </x:c>
      <x:c r="B45" s="30" t="str">
        <x:v>M02-F003</x:v>
      </x:c>
      <x:c r="C45" s="30" t="str">
        <x:v>P0</x:v>
      </x:c>
      <x:c r="D45" s="30" t="str">
        <x:v>KEEP</x:v>
      </x:c>
      <x:c r="E45" s="30" t="str">
        <x:v>K-WP01</x:v>
      </x:c>
      <x:c r="F45" s="30" t="str">
        <x:v>Khải</x:v>
      </x:c>
      <x:c r="G45" s="30" t="str">
        <x:v>Tách thành phần: scheme, subdomain, domain, TLD, path, query, fragment</x:v>
      </x:c>
      <x:c r="H45" s="30" t="str">
        <x:v>`K01-03`</x:v>
      </x:c>
      <x:c r="I45" s="30" t="str">
        <x:v>Khải</x:v>
      </x:c>
      <x:c r="J45" s="30" t="str">
        <x:v>☐</x:v>
      </x:c>
      <x:c r="K45" s="30" t="str">
        <x:v>Chưa bắt đầu</x:v>
      </x:c>
      <x:c r="L45" s="40" t="n">
        <x:f>IF(J45="☑",1,IF(K45="Done",1,IF(K45="Đang làm",0.5,IF(K45="Blocked",0.25,0))))</x:f>
        <x:v>0</x:v>
      </x:c>
      <x:c r="M45" s="30" t="str"/>
      <x:c r="N45" s="30" t="str"/>
    </x:row>
    <x:row r="46">
      <x:c r="A46" s="30" t="str">
        <x:v>M02</x:v>
      </x:c>
      <x:c r="B46" s="30" t="str">
        <x:v>M02-F004</x:v>
      </x:c>
      <x:c r="C46" s="30" t="str">
        <x:v>P0</x:v>
      </x:c>
      <x:c r="D46" s="30" t="str">
        <x:v>MODIFY</x:v>
      </x:c>
      <x:c r="E46" s="30" t="str">
        <x:v>K-WP01</x:v>
      </x:c>
      <x:c r="F46" s="30" t="str">
        <x:v>Khải</x:v>
      </x:c>
      <x:c r="G46" s="30" t="str">
        <x:v>Cache kết quả URL theo normalized-input hash qua shared result cache; TTL mặc định 10 phút và cấu hình được, PostgreSQL vẫn là source of truth.</x:v>
      </x:c>
      <x:c r="H46" s="30" t="str">
        <x:v>`K01-04 + MODSPEC-V1.3`</x:v>
      </x:c>
      <x:c r="I46" s="30" t="str">
        <x:v>Khải</x:v>
      </x:c>
      <x:c r="J46" s="30" t="str">
        <x:v>☐</x:v>
      </x:c>
      <x:c r="K46" s="30" t="str">
        <x:v>Chưa bắt đầu</x:v>
      </x:c>
      <x:c r="L46" s="40" t="n">
        <x:f>IF(J46="☑",1,IF(K46="Done",1,IF(K46="Đang làm",0.5,IF(K46="Blocked",0.25,0))))</x:f>
        <x:v>0</x:v>
      </x:c>
      <x:c r="M46" s="30" t="str"/>
      <x:c r="N46" s="30" t="str"/>
    </x:row>
    <x:row r="47">
      <x:c r="A47" s="30" t="str">
        <x:v>M02</x:v>
      </x:c>
      <x:c r="B47" s="30" t="str">
        <x:v>M02-F005</x:v>
      </x:c>
      <x:c r="C47" s="30" t="str">
        <x:v>P0</x:v>
      </x:c>
      <x:c r="D47" s="30" t="str">
        <x:v>KEEP</x:v>
      </x:c>
      <x:c r="E47" s="30" t="str">
        <x:v>K-WP01</x:v>
      </x:c>
      <x:c r="F47" s="30" t="str">
        <x:v>Khải</x:v>
      </x:c>
      <x:c r="G47" s="30" t="str">
        <x:v>Phát hiện dấu hiệu cơ bản: dùng IP thay tên miền, URL quá dài, ký tự bất thường, `@` trong host</x:v>
      </x:c>
      <x:c r="H47" s="30" t="str">
        <x:v>`K01-05`</x:v>
      </x:c>
      <x:c r="I47" s="30" t="str">
        <x:v>Khải</x:v>
      </x:c>
      <x:c r="J47" s="30" t="str">
        <x:v>☐</x:v>
      </x:c>
      <x:c r="K47" s="30" t="str">
        <x:v>Chưa bắt đầu</x:v>
      </x:c>
      <x:c r="L47" s="40" t="n">
        <x:f>IF(J47="☑",1,IF(K47="Done",1,IF(K47="Đang làm",0.5,IF(K47="Blocked",0.25,0))))</x:f>
        <x:v>0</x:v>
      </x:c>
      <x:c r="M47" s="30" t="str"/>
      <x:c r="N47" s="30" t="str"/>
    </x:row>
    <x:row r="48">
      <x:c r="A48" s="30" t="str">
        <x:v>M02</x:v>
      </x:c>
      <x:c r="B48" s="30" t="str">
        <x:v>M02-F006</x:v>
      </x:c>
      <x:c r="C48" s="30" t="str">
        <x:v>P1</x:v>
      </x:c>
      <x:c r="D48" s="30" t="str">
        <x:v>KEEP</x:v>
      </x:c>
      <x:c r="E48" s="30" t="str">
        <x:v>K-WP01</x:v>
      </x:c>
      <x:c r="F48" s="30" t="str">
        <x:v>Khải</x:v>
      </x:c>
      <x:c r="G48" s="30" t="str">
        <x:v>Nhận diện dịch vụ rút gọn link và mở rộng về địa chỉ thật</x:v>
      </x:c>
      <x:c r="H48" s="30" t="str">
        <x:v>`K01-06`</x:v>
      </x:c>
      <x:c r="I48" s="30" t="str">
        <x:v>Khải</x:v>
      </x:c>
      <x:c r="J48" s="30" t="str">
        <x:v>☐</x:v>
      </x:c>
      <x:c r="K48" s="30" t="str">
        <x:v>Chưa bắt đầu</x:v>
      </x:c>
      <x:c r="L48" s="40" t="n">
        <x:f>IF(J48="☑",1,IF(K48="Done",1,IF(K48="Đang làm",0.5,IF(K48="Blocked",0.25,0))))</x:f>
        <x:v>0</x:v>
      </x:c>
      <x:c r="M48" s="30" t="str"/>
      <x:c r="N48" s="30" t="str"/>
    </x:row>
    <x:row r="49">
      <x:c r="A49" s="30" t="str">
        <x:v>M02</x:v>
      </x:c>
      <x:c r="B49" s="30" t="str">
        <x:v>M02-F007</x:v>
      </x:c>
      <x:c r="C49" s="30" t="str">
        <x:v>P1</x:v>
      </x:c>
      <x:c r="D49" s="30" t="str">
        <x:v>KEEP</x:v>
      </x:c>
      <x:c r="E49" s="30" t="str">
        <x:v>K-WP01</x:v>
      </x:c>
      <x:c r="F49" s="30" t="str">
        <x:v>Khải</x:v>
      </x:c>
      <x:c r="G49" s="30" t="str">
        <x:v>Trang kết quả chi tiết URL trên web, hiển thị từng bằng chứng</x:v>
      </x:c>
      <x:c r="H49" s="30" t="str">
        <x:v>`K01-07`</x:v>
      </x:c>
      <x:c r="I49" s="30" t="str">
        <x:v>Khải</x:v>
      </x:c>
      <x:c r="J49" s="30" t="str">
        <x:v>☐</x:v>
      </x:c>
      <x:c r="K49" s="30" t="str">
        <x:v>Chưa bắt đầu</x:v>
      </x:c>
      <x:c r="L49" s="40" t="n">
        <x:f>IF(J49="☑",1,IF(K49="Done",1,IF(K49="Đang làm",0.5,IF(K49="Blocked",0.25,0))))</x:f>
        <x:v>0</x:v>
      </x:c>
      <x:c r="M49" s="30" t="str"/>
      <x:c r="N49" s="30" t="str"/>
    </x:row>
    <x:row r="50">
      <x:c r="A50" s="30" t="str">
        <x:v>M02</x:v>
      </x:c>
      <x:c r="B50" s="30" t="str">
        <x:v>M02-F008</x:v>
      </x:c>
      <x:c r="C50" s="30" t="str">
        <x:v>P2</x:v>
      </x:c>
      <x:c r="D50" s="30" t="str">
        <x:v>KEEP</x:v>
      </x:c>
      <x:c r="E50" s="30" t="str">
        <x:v>K-WP01</x:v>
      </x:c>
      <x:c r="F50" s="30" t="str">
        <x:v>Khải</x:v>
      </x:c>
      <x:c r="G50" s="30" t="str">
        <x:v>Quét hàng loạt nhiều URL cùng lúc</x:v>
      </x:c>
      <x:c r="H50" s="30" t="str">
        <x:v>`K01-08`</x:v>
      </x:c>
      <x:c r="I50" s="30" t="str">
        <x:v>Khải</x:v>
      </x:c>
      <x:c r="J50" s="30" t="str">
        <x:v>☐</x:v>
      </x:c>
      <x:c r="K50" s="30" t="str">
        <x:v>Chưa bắt đầu</x:v>
      </x:c>
      <x:c r="L50" s="40" t="n">
        <x:f>IF(J50="☑",1,IF(K50="Done",1,IF(K50="Đang làm",0.5,IF(K50="Blocked",0.25,0))))</x:f>
        <x:v>0</x:v>
      </x:c>
      <x:c r="M50" s="30" t="str"/>
      <x:c r="N50" s="30" t="str"/>
    </x:row>
    <x:row r="51">
      <x:c r="A51" s="30" t="str">
        <x:v>M02</x:v>
      </x:c>
      <x:c r="B51" s="30" t="str">
        <x:v>M02-F009</x:v>
      </x:c>
      <x:c r="C51" s="30" t="str">
        <x:v>P0</x:v>
      </x:c>
      <x:c r="D51" s="30" t="str">
        <x:v>KEEP</x:v>
      </x:c>
      <x:c r="E51" s="30" t="str">
        <x:v>K-WP02</x:v>
      </x:c>
      <x:c r="F51" s="30" t="str">
        <x:v>Khải</x:v>
      </x:c>
      <x:c r="G51" s="30" t="str">
        <x:v>Chặn dải IP nội bộ: `127.0.0.0/8`, `10/8`, `172.16/12`, `192.168/16`, `169.254/16`, `::1`, `fc00::/7`</x:v>
      </x:c>
      <x:c r="H51" s="30" t="str">
        <x:v>`K02-01`</x:v>
      </x:c>
      <x:c r="I51" s="30" t="str">
        <x:v>Khải</x:v>
      </x:c>
      <x:c r="J51" s="30" t="str">
        <x:v>☐</x:v>
      </x:c>
      <x:c r="K51" s="30" t="str">
        <x:v>Chưa bắt đầu</x:v>
      </x:c>
      <x:c r="L51" s="40" t="n">
        <x:f>IF(J51="☑",1,IF(K51="Done",1,IF(K51="Đang làm",0.5,IF(K51="Blocked",0.25,0))))</x:f>
        <x:v>0</x:v>
      </x:c>
      <x:c r="M51" s="30" t="str"/>
      <x:c r="N51" s="30" t="str"/>
    </x:row>
    <x:row r="52">
      <x:c r="A52" s="30" t="str">
        <x:v>M02</x:v>
      </x:c>
      <x:c r="B52" s="30" t="str">
        <x:v>M02-F010</x:v>
      </x:c>
      <x:c r="C52" s="30" t="str">
        <x:v>P0</x:v>
      </x:c>
      <x:c r="D52" s="30" t="str">
        <x:v>KEEP</x:v>
      </x:c>
      <x:c r="E52" s="30" t="str">
        <x:v>K-WP02</x:v>
      </x:c>
      <x:c r="F52" s="30" t="str">
        <x:v>Khải</x:v>
      </x:c>
      <x:c r="G52" s="30" t="str">
        <x:v>Phân giải DNS trước, kiểm tra IP đích, rồi mới kết nối (chống DNS rebinding)</x:v>
      </x:c>
      <x:c r="H52" s="30" t="str">
        <x:v>`K02-02`</x:v>
      </x:c>
      <x:c r="I52" s="30" t="str">
        <x:v>Khải</x:v>
      </x:c>
      <x:c r="J52" s="30" t="str">
        <x:v>☐</x:v>
      </x:c>
      <x:c r="K52" s="30" t="str">
        <x:v>Chưa bắt đầu</x:v>
      </x:c>
      <x:c r="L52" s="40" t="n">
        <x:f>IF(J52="☑",1,IF(K52="Done",1,IF(K52="Đang làm",0.5,IF(K52="Blocked",0.25,0))))</x:f>
        <x:v>0</x:v>
      </x:c>
      <x:c r="M52" s="30" t="str"/>
      <x:c r="N52" s="30" t="str"/>
    </x:row>
    <x:row r="53">
      <x:c r="A53" s="30" t="str">
        <x:v>M02</x:v>
      </x:c>
      <x:c r="B53" s="30" t="str">
        <x:v>M02-F011</x:v>
      </x:c>
      <x:c r="C53" s="30" t="str">
        <x:v>P0</x:v>
      </x:c>
      <x:c r="D53" s="30" t="str">
        <x:v>KEEP</x:v>
      </x:c>
      <x:c r="E53" s="30" t="str">
        <x:v>K-WP02</x:v>
      </x:c>
      <x:c r="F53" s="30" t="str">
        <x:v>Khải</x:v>
      </x:c>
      <x:c r="G53" s="30" t="str">
        <x:v>Chỉ cho phép scheme `http` và `https`</x:v>
      </x:c>
      <x:c r="H53" s="30" t="str">
        <x:v>`K02-03`</x:v>
      </x:c>
      <x:c r="I53" s="30" t="str">
        <x:v>Khải</x:v>
      </x:c>
      <x:c r="J53" s="30" t="str">
        <x:v>☐</x:v>
      </x:c>
      <x:c r="K53" s="30" t="str">
        <x:v>Chưa bắt đầu</x:v>
      </x:c>
      <x:c r="L53" s="40" t="n">
        <x:f>IF(J53="☑",1,IF(K53="Done",1,IF(K53="Đang làm",0.5,IF(K53="Blocked",0.25,0))))</x:f>
        <x:v>0</x:v>
      </x:c>
      <x:c r="M53" s="30" t="str"/>
      <x:c r="N53" s="30" t="str"/>
    </x:row>
    <x:row r="54">
      <x:c r="A54" s="30" t="str">
        <x:v>M02</x:v>
      </x:c>
      <x:c r="B54" s="30" t="str">
        <x:v>M02-F012</x:v>
      </x:c>
      <x:c r="C54" s="30" t="str">
        <x:v>P0</x:v>
      </x:c>
      <x:c r="D54" s="30" t="str">
        <x:v>KEEP</x:v>
      </x:c>
      <x:c r="E54" s="30" t="str">
        <x:v>K-WP02</x:v>
      </x:c>
      <x:c r="F54" s="30" t="str">
        <x:v>Khải</x:v>
      </x:c>
      <x:c r="G54" s="30" t="str">
        <x:v>Giới hạn kích thước phản hồi và thời gian chờ, huỷ khi vượt ngưỡng</x:v>
      </x:c>
      <x:c r="H54" s="30" t="str">
        <x:v>`K02-04`</x:v>
      </x:c>
      <x:c r="I54" s="30" t="str">
        <x:v>Khải</x:v>
      </x:c>
      <x:c r="J54" s="30" t="str">
        <x:v>☐</x:v>
      </x:c>
      <x:c r="K54" s="30" t="str">
        <x:v>Chưa bắt đầu</x:v>
      </x:c>
      <x:c r="L54" s="40" t="n">
        <x:f>IF(J54="☑",1,IF(K54="Done",1,IF(K54="Đang làm",0.5,IF(K54="Blocked",0.25,0))))</x:f>
        <x:v>0</x:v>
      </x:c>
      <x:c r="M54" s="30" t="str"/>
      <x:c r="N54" s="30" t="str"/>
    </x:row>
    <x:row r="55">
      <x:c r="A55" s="30" t="str">
        <x:v>M02</x:v>
      </x:c>
      <x:c r="B55" s="30" t="str">
        <x:v>M02-F013</x:v>
      </x:c>
      <x:c r="C55" s="30" t="str">
        <x:v>P0</x:v>
      </x:c>
      <x:c r="D55" s="30" t="str">
        <x:v>KEEP</x:v>
      </x:c>
      <x:c r="E55" s="30" t="str">
        <x:v>K-WP02</x:v>
      </x:c>
      <x:c r="F55" s="30" t="str">
        <x:v>Khải</x:v>
      </x:c>
      <x:c r="G55" s="30" t="str">
        <x:v>Kiểm tra lại IP đích ở **mỗi** bước chuyển hướng, không chỉ URL đầu tiên</x:v>
      </x:c>
      <x:c r="H55" s="30" t="str">
        <x:v>`K02-05`</x:v>
      </x:c>
      <x:c r="I55" s="30" t="str">
        <x:v>Khải</x:v>
      </x:c>
      <x:c r="J55" s="30" t="str">
        <x:v>☐</x:v>
      </x:c>
      <x:c r="K55" s="30" t="str">
        <x:v>Chưa bắt đầu</x:v>
      </x:c>
      <x:c r="L55" s="40" t="n">
        <x:f>IF(J55="☑",1,IF(K55="Done",1,IF(K55="Đang làm",0.5,IF(K55="Blocked",0.25,0))))</x:f>
        <x:v>0</x:v>
      </x:c>
      <x:c r="M55" s="30" t="str"/>
      <x:c r="N55" s="30" t="str"/>
    </x:row>
    <x:row r="56">
      <x:c r="A56" s="30" t="str">
        <x:v>M02</x:v>
      </x:c>
      <x:c r="B56" s="30" t="str">
        <x:v>M02-F014</x:v>
      </x:c>
      <x:c r="C56" s="30" t="str">
        <x:v>P1</x:v>
      </x:c>
      <x:c r="D56" s="30" t="str">
        <x:v>KEEP</x:v>
      </x:c>
      <x:c r="E56" s="30" t="str">
        <x:v>K-WP02</x:v>
      </x:c>
      <x:c r="F56" s="30" t="str">
        <x:v>Khải</x:v>
      </x:c>
      <x:c r="G56" s="30" t="str">
        <x:v>Chạy fetch bằng user riêng, không có quyền truy cập DB</x:v>
      </x:c>
      <x:c r="H56" s="30" t="str">
        <x:v>`K02-06`</x:v>
      </x:c>
      <x:c r="I56" s="30" t="str">
        <x:v>Khải</x:v>
      </x:c>
      <x:c r="J56" s="30" t="str">
        <x:v>☐</x:v>
      </x:c>
      <x:c r="K56" s="30" t="str">
        <x:v>Chưa bắt đầu</x:v>
      </x:c>
      <x:c r="L56" s="40" t="n">
        <x:f>IF(J56="☑",1,IF(K56="Done",1,IF(K56="Đang làm",0.5,IF(K56="Blocked",0.25,0))))</x:f>
        <x:v>0</x:v>
      </x:c>
      <x:c r="M56" s="30" t="str"/>
      <x:c r="N56" s="30" t="str"/>
    </x:row>
    <x:row r="57">
      <x:c r="A57" s="30" t="str">
        <x:v>M02</x:v>
      </x:c>
      <x:c r="B57" s="30" t="str">
        <x:v>M02-F015</x:v>
      </x:c>
      <x:c r="C57" s="30" t="str">
        <x:v>P1</x:v>
      </x:c>
      <x:c r="D57" s="30" t="str">
        <x:v>KEEP</x:v>
      </x:c>
      <x:c r="E57" s="30" t="str">
        <x:v>K-WP02</x:v>
      </x:c>
      <x:c r="F57" s="30" t="str">
        <x:v>Khải</x:v>
      </x:c>
      <x:c r="G57" s="30" t="str">
        <x:v>Bộ test tấn công: `169.254.169.254`, `localhost`, redirect về IP nội bộ, DNS rebinding</x:v>
      </x:c>
      <x:c r="H57" s="30" t="str">
        <x:v>`K02-07`</x:v>
      </x:c>
      <x:c r="I57" s="30" t="str">
        <x:v>Khải</x:v>
      </x:c>
      <x:c r="J57" s="30" t="str">
        <x:v>☐</x:v>
      </x:c>
      <x:c r="K57" s="30" t="str">
        <x:v>Chưa bắt đầu</x:v>
      </x:c>
      <x:c r="L57" s="40" t="n">
        <x:f>IF(J57="☑",1,IF(K57="Done",1,IF(K57="Đang làm",0.5,IF(K57="Blocked",0.25,0))))</x:f>
        <x:v>0</x:v>
      </x:c>
      <x:c r="M57" s="30" t="str"/>
      <x:c r="N57" s="30" t="str"/>
    </x:row>
    <x:row r="58">
      <x:c r="A58" s="30" t="str">
        <x:v>M02</x:v>
      </x:c>
      <x:c r="B58" s="30" t="str">
        <x:v>M02-F016</x:v>
      </x:c>
      <x:c r="C58" s="30" t="str">
        <x:v>P2</x:v>
      </x:c>
      <x:c r="D58" s="30" t="str">
        <x:v>KEEP</x:v>
      </x:c>
      <x:c r="E58" s="30" t="str">
        <x:v>K-WP02</x:v>
      </x:c>
      <x:c r="F58" s="30" t="str">
        <x:v>Khải</x:v>
      </x:c>
      <x:c r="G58" s="30" t="str">
        <x:v>Tách tầng fetch ra container riêng có network policy giới hạn</x:v>
      </x:c>
      <x:c r="H58" s="30" t="str">
        <x:v>`K02-08`</x:v>
      </x:c>
      <x:c r="I58" s="30" t="str">
        <x:v>Khải</x:v>
      </x:c>
      <x:c r="J58" s="30" t="str">
        <x:v>☐</x:v>
      </x:c>
      <x:c r="K58" s="30" t="str">
        <x:v>Chưa bắt đầu</x:v>
      </x:c>
      <x:c r="L58" s="40" t="n">
        <x:f>IF(J58="☑",1,IF(K58="Done",1,IF(K58="Đang làm",0.5,IF(K58="Blocked",0.25,0))))</x:f>
        <x:v>0</x:v>
      </x:c>
      <x:c r="M58" s="30" t="str"/>
      <x:c r="N58" s="30" t="str"/>
    </x:row>
    <x:row r="59">
      <x:c r="A59" s="30" t="str">
        <x:v>M02</x:v>
      </x:c>
      <x:c r="B59" s="30" t="str">
        <x:v>M02-F017</x:v>
      </x:c>
      <x:c r="C59" s="30" t="str">
        <x:v>P0</x:v>
      </x:c>
      <x:c r="D59" s="30" t="str">
        <x:v>KEEP</x:v>
      </x:c>
      <x:c r="E59" s="30" t="str">
        <x:v>K-WP03</x:v>
      </x:c>
      <x:c r="F59" s="30" t="str">
        <x:v>Khải</x:v>
      </x:c>
      <x:c r="G59" s="30" t="str">
        <x:v>Theo redirect tối đa N bước (mặc định 5), ghi lại toàn bộ chuỗi</x:v>
      </x:c>
      <x:c r="H59" s="30" t="str">
        <x:v>`K03-01`</x:v>
      </x:c>
      <x:c r="I59" s="30" t="str">
        <x:v>Khải</x:v>
      </x:c>
      <x:c r="J59" s="30" t="str">
        <x:v>☐</x:v>
      </x:c>
      <x:c r="K59" s="30" t="str">
        <x:v>Chưa bắt đầu</x:v>
      </x:c>
      <x:c r="L59" s="40" t="n">
        <x:f>IF(J59="☑",1,IF(K59="Done",1,IF(K59="Đang làm",0.5,IF(K59="Blocked",0.25,0))))</x:f>
        <x:v>0</x:v>
      </x:c>
      <x:c r="M59" s="30" t="str"/>
      <x:c r="N59" s="30" t="str"/>
    </x:row>
    <x:row r="60">
      <x:c r="A60" s="30" t="str">
        <x:v>M02</x:v>
      </x:c>
      <x:c r="B60" s="30" t="str">
        <x:v>M02-F018</x:v>
      </x:c>
      <x:c r="C60" s="30" t="str">
        <x:v>P0</x:v>
      </x:c>
      <x:c r="D60" s="30" t="str">
        <x:v>KEEP</x:v>
      </x:c>
      <x:c r="E60" s="30" t="str">
        <x:v>K-WP03</x:v>
      </x:c>
      <x:c r="F60" s="30" t="str">
        <x:v>Khải</x:v>
      </x:c>
      <x:c r="G60" s="30" t="str">
        <x:v>Cảnh báo khi chuỗi quá dài hoặc có vòng lặp</x:v>
      </x:c>
      <x:c r="H60" s="30" t="str">
        <x:v>`K03-02`</x:v>
      </x:c>
      <x:c r="I60" s="30" t="str">
        <x:v>Khải</x:v>
      </x:c>
      <x:c r="J60" s="30" t="str">
        <x:v>☐</x:v>
      </x:c>
      <x:c r="K60" s="30" t="str">
        <x:v>Chưa bắt đầu</x:v>
      </x:c>
      <x:c r="L60" s="40" t="n">
        <x:f>IF(J60="☑",1,IF(K60="Done",1,IF(K60="Đang làm",0.5,IF(K60="Blocked",0.25,0))))</x:f>
        <x:v>0</x:v>
      </x:c>
      <x:c r="M60" s="30" t="str"/>
      <x:c r="N60" s="30" t="str"/>
    </x:row>
    <x:row r="61">
      <x:c r="A61" s="30" t="str">
        <x:v>M02</x:v>
      </x:c>
      <x:c r="B61" s="30" t="str">
        <x:v>M02-F019</x:v>
      </x:c>
      <x:c r="C61" s="30" t="str">
        <x:v>P1</x:v>
      </x:c>
      <x:c r="D61" s="30" t="str">
        <x:v>KEEP</x:v>
      </x:c>
      <x:c r="E61" s="30" t="str">
        <x:v>K-WP03</x:v>
      </x:c>
      <x:c r="F61" s="30" t="str">
        <x:v>Khải</x:v>
      </x:c>
      <x:c r="G61" s="30" t="str">
        <x:v>Phát hiện chuyển hướng đổi tên miền gốc (cross-domain redirect)</x:v>
      </x:c>
      <x:c r="H61" s="30" t="str">
        <x:v>`K03-03`</x:v>
      </x:c>
      <x:c r="I61" s="30" t="str">
        <x:v>Khải</x:v>
      </x:c>
      <x:c r="J61" s="30" t="str">
        <x:v>☐</x:v>
      </x:c>
      <x:c r="K61" s="30" t="str">
        <x:v>Chưa bắt đầu</x:v>
      </x:c>
      <x:c r="L61" s="40" t="n">
        <x:f>IF(J61="☑",1,IF(K61="Done",1,IF(K61="Đang làm",0.5,IF(K61="Blocked",0.25,0))))</x:f>
        <x:v>0</x:v>
      </x:c>
      <x:c r="M61" s="30" t="str"/>
      <x:c r="N61" s="30" t="str"/>
    </x:row>
    <x:row r="62">
      <x:c r="A62" s="30" t="str">
        <x:v>M02</x:v>
      </x:c>
      <x:c r="B62" s="30" t="str">
        <x:v>M02-F020</x:v>
      </x:c>
      <x:c r="C62" s="30" t="str">
        <x:v>P1</x:v>
      </x:c>
      <x:c r="D62" s="30" t="str">
        <x:v>KEEP</x:v>
      </x:c>
      <x:c r="E62" s="30" t="str">
        <x:v>K-WP03</x:v>
      </x:c>
      <x:c r="F62" s="30" t="str">
        <x:v>Khải</x:v>
      </x:c>
      <x:c r="G62" s="30" t="str">
        <x:v>Phát hiện chuyển hướng từ HTTPS xuống HTTP (downgrade)</x:v>
      </x:c>
      <x:c r="H62" s="30" t="str">
        <x:v>`K03-04`</x:v>
      </x:c>
      <x:c r="I62" s="30" t="str">
        <x:v>Khải</x:v>
      </x:c>
      <x:c r="J62" s="30" t="str">
        <x:v>☐</x:v>
      </x:c>
      <x:c r="K62" s="30" t="str">
        <x:v>Chưa bắt đầu</x:v>
      </x:c>
      <x:c r="L62" s="40" t="n">
        <x:f>IF(J62="☑",1,IF(K62="Done",1,IF(K62="Đang làm",0.5,IF(K62="Blocked",0.25,0))))</x:f>
        <x:v>0</x:v>
      </x:c>
      <x:c r="M62" s="30" t="str"/>
      <x:c r="N62" s="30" t="str"/>
    </x:row>
    <x:row r="63">
      <x:c r="A63" s="30" t="str">
        <x:v>M02</x:v>
      </x:c>
      <x:c r="B63" s="30" t="str">
        <x:v>M02-F021</x:v>
      </x:c>
      <x:c r="C63" s="30" t="str">
        <x:v>P1</x:v>
      </x:c>
      <x:c r="D63" s="30" t="str">
        <x:v>KEEP</x:v>
      </x:c>
      <x:c r="E63" s="30" t="str">
        <x:v>K-WP03</x:v>
      </x:c>
      <x:c r="F63" s="30" t="str">
        <x:v>Khải</x:v>
      </x:c>
      <x:c r="G63" s="30" t="str">
        <x:v>Bắt cả chuyển hướng bằng JavaScript và thẻ `&lt;meta refresh&gt;`</x:v>
      </x:c>
      <x:c r="H63" s="30" t="str">
        <x:v>`K03-05`</x:v>
      </x:c>
      <x:c r="I63" s="30" t="str">
        <x:v>Khải</x:v>
      </x:c>
      <x:c r="J63" s="30" t="str">
        <x:v>☐</x:v>
      </x:c>
      <x:c r="K63" s="30" t="str">
        <x:v>Chưa bắt đầu</x:v>
      </x:c>
      <x:c r="L63" s="40" t="n">
        <x:f>IF(J63="☑",1,IF(K63="Done",1,IF(K63="Đang làm",0.5,IF(K63="Blocked",0.25,0))))</x:f>
        <x:v>0</x:v>
      </x:c>
      <x:c r="M63" s="30" t="str"/>
      <x:c r="N63" s="30" t="str"/>
    </x:row>
    <x:row r="64">
      <x:c r="A64" s="30" t="str">
        <x:v>M02</x:v>
      </x:c>
      <x:c r="B64" s="30" t="str">
        <x:v>M02-F022</x:v>
      </x:c>
      <x:c r="C64" s="30" t="str">
        <x:v>P2</x:v>
      </x:c>
      <x:c r="D64" s="30" t="str">
        <x:v>KEEP</x:v>
      </x:c>
      <x:c r="E64" s="30" t="str">
        <x:v>K-WP03</x:v>
      </x:c>
      <x:c r="F64" s="30" t="str">
        <x:v>Khải</x:v>
      </x:c>
      <x:c r="G64" s="30" t="str">
        <x:v>Hiển thị trực quan chuỗi chuyển hướng trên giao diện</x:v>
      </x:c>
      <x:c r="H64" s="30" t="str">
        <x:v>`K03-06`</x:v>
      </x:c>
      <x:c r="I64" s="30" t="str">
        <x:v>Khải</x:v>
      </x:c>
      <x:c r="J64" s="30" t="str">
        <x:v>☐</x:v>
      </x:c>
      <x:c r="K64" s="30" t="str">
        <x:v>Chưa bắt đầu</x:v>
      </x:c>
      <x:c r="L64" s="40" t="n">
        <x:f>IF(J64="☑",1,IF(K64="Done",1,IF(K64="Đang làm",0.5,IF(K64="Blocked",0.25,0))))</x:f>
        <x:v>0</x:v>
      </x:c>
      <x:c r="M64" s="30" t="str"/>
      <x:c r="N64" s="30" t="str"/>
    </x:row>
    <x:row r="65">
      <x:c r="A65" s="30" t="str">
        <x:v>M02</x:v>
      </x:c>
      <x:c r="B65" s="30" t="str">
        <x:v>M02-F023</x:v>
      </x:c>
      <x:c r="C65" s="30" t="str">
        <x:v>P2</x:v>
      </x:c>
      <x:c r="D65" s="30" t="str">
        <x:v>KEEP</x:v>
      </x:c>
      <x:c r="E65" s="30" t="str">
        <x:v>K-WP03</x:v>
      </x:c>
      <x:c r="F65" s="30" t="str">
        <x:v>Khải</x:v>
      </x:c>
      <x:c r="G65" s="30" t="str">
        <x:v>Phát hiện cloaking — trả nội dung khác nhau theo User-Agent</x:v>
      </x:c>
      <x:c r="H65" s="30" t="str">
        <x:v>`K03-07`</x:v>
      </x:c>
      <x:c r="I65" s="30" t="str">
        <x:v>Khải</x:v>
      </x:c>
      <x:c r="J65" s="30" t="str">
        <x:v>☐</x:v>
      </x:c>
      <x:c r="K65" s="30" t="str">
        <x:v>Chưa bắt đầu</x:v>
      </x:c>
      <x:c r="L65" s="40" t="n">
        <x:f>IF(J65="☑",1,IF(K65="Done",1,IF(K65="Đang làm",0.5,IF(K65="Blocked",0.25,0))))</x:f>
        <x:v>0</x:v>
      </x:c>
      <x:c r="M65" s="30" t="str"/>
      <x:c r="N65" s="30" t="str"/>
    </x:row>
    <x:row r="66">
      <x:c r="A66" s="30" t="str">
        <x:v>M02</x:v>
      </x:c>
      <x:c r="B66" s="30" t="str">
        <x:v>M02-F024</x:v>
      </x:c>
      <x:c r="C66" s="30" t="str">
        <x:v>P0</x:v>
      </x:c>
      <x:c r="D66" s="30" t="str">
        <x:v>KEEP</x:v>
      </x:c>
      <x:c r="E66" s="30" t="str">
        <x:v>K-WP04</x:v>
      </x:c>
      <x:c r="F66" s="30" t="str">
        <x:v>Khải</x:v>
      </x:c>
      <x:c r="G66" s="30" t="str">
        <x:v>Kiểm tra có HTTPS hay không</x:v>
      </x:c>
      <x:c r="H66" s="30" t="str">
        <x:v>`K04-01`</x:v>
      </x:c>
      <x:c r="I66" s="30" t="str">
        <x:v>Khải</x:v>
      </x:c>
      <x:c r="J66" s="30" t="str">
        <x:v>☐</x:v>
      </x:c>
      <x:c r="K66" s="30" t="str">
        <x:v>Chưa bắt đầu</x:v>
      </x:c>
      <x:c r="L66" s="40" t="n">
        <x:f>IF(J66="☑",1,IF(K66="Done",1,IF(K66="Đang làm",0.5,IF(K66="Blocked",0.25,0))))</x:f>
        <x:v>0</x:v>
      </x:c>
      <x:c r="M66" s="30" t="str"/>
      <x:c r="N66" s="30" t="str"/>
    </x:row>
    <x:row r="67">
      <x:c r="A67" s="30" t="str">
        <x:v>M02</x:v>
      </x:c>
      <x:c r="B67" s="30" t="str">
        <x:v>M02-F025</x:v>
      </x:c>
      <x:c r="C67" s="30" t="str">
        <x:v>P0</x:v>
      </x:c>
      <x:c r="D67" s="30" t="str">
        <x:v>KEEP</x:v>
      </x:c>
      <x:c r="E67" s="30" t="str">
        <x:v>K-WP04</x:v>
      </x:c>
      <x:c r="F67" s="30" t="str">
        <x:v>Khải</x:v>
      </x:c>
      <x:c r="G67" s="30" t="str">
        <x:v>Kiểm tra chứng chỉ còn hạn và khớp tên miền</x:v>
      </x:c>
      <x:c r="H67" s="30" t="str">
        <x:v>`K04-02`</x:v>
      </x:c>
      <x:c r="I67" s="30" t="str">
        <x:v>Khải</x:v>
      </x:c>
      <x:c r="J67" s="30" t="str">
        <x:v>☐</x:v>
      </x:c>
      <x:c r="K67" s="30" t="str">
        <x:v>Chưa bắt đầu</x:v>
      </x:c>
      <x:c r="L67" s="40" t="n">
        <x:f>IF(J67="☑",1,IF(K67="Done",1,IF(K67="Đang làm",0.5,IF(K67="Blocked",0.25,0))))</x:f>
        <x:v>0</x:v>
      </x:c>
      <x:c r="M67" s="30" t="str"/>
      <x:c r="N67" s="30" t="str"/>
    </x:row>
    <x:row r="68">
      <x:c r="A68" s="30" t="str">
        <x:v>M02</x:v>
      </x:c>
      <x:c r="B68" s="30" t="str">
        <x:v>M02-F026</x:v>
      </x:c>
      <x:c r="C68" s="30" t="str">
        <x:v>P1</x:v>
      </x:c>
      <x:c r="D68" s="30" t="str">
        <x:v>KEEP</x:v>
      </x:c>
      <x:c r="E68" s="30" t="str">
        <x:v>K-WP04</x:v>
      </x:c>
      <x:c r="F68" s="30" t="str">
        <x:v>Khải</x:v>
      </x:c>
      <x:c r="G68" s="30" t="str">
        <x:v>Trích xuất tổ chức phát hành, ngày cấp, ngày hết hạn</x:v>
      </x:c>
      <x:c r="H68" s="30" t="str">
        <x:v>`K04-03`</x:v>
      </x:c>
      <x:c r="I68" s="30" t="str">
        <x:v>Khải</x:v>
      </x:c>
      <x:c r="J68" s="30" t="str">
        <x:v>☐</x:v>
      </x:c>
      <x:c r="K68" s="30" t="str">
        <x:v>Chưa bắt đầu</x:v>
      </x:c>
      <x:c r="L68" s="40" t="n">
        <x:f>IF(J68="☑",1,IF(K68="Done",1,IF(K68="Đang làm",0.5,IF(K68="Blocked",0.25,0))))</x:f>
        <x:v>0</x:v>
      </x:c>
      <x:c r="M68" s="30" t="str"/>
      <x:c r="N68" s="30" t="str"/>
    </x:row>
    <x:row r="69">
      <x:c r="A69" s="30" t="str">
        <x:v>M02</x:v>
      </x:c>
      <x:c r="B69" s="30" t="str">
        <x:v>M02-F027</x:v>
      </x:c>
      <x:c r="C69" s="30" t="str">
        <x:v>P1</x:v>
      </x:c>
      <x:c r="D69" s="30" t="str">
        <x:v>KEEP</x:v>
      </x:c>
      <x:c r="E69" s="30" t="str">
        <x:v>K-WP04</x:v>
      </x:c>
      <x:c r="F69" s="30" t="str">
        <x:v>Khải</x:v>
      </x:c>
      <x:c r="G69" s="30" t="str">
        <x:v>Cảnh báo chứng chỉ tự ký hoặc mới cấp trong vài ngày</x:v>
      </x:c>
      <x:c r="H69" s="30" t="str">
        <x:v>`K04-04`</x:v>
      </x:c>
      <x:c r="I69" s="30" t="str">
        <x:v>Khải</x:v>
      </x:c>
      <x:c r="J69" s="30" t="str">
        <x:v>☐</x:v>
      </x:c>
      <x:c r="K69" s="30" t="str">
        <x:v>Chưa bắt đầu</x:v>
      </x:c>
      <x:c r="L69" s="40" t="n">
        <x:f>IF(J69="☑",1,IF(K69="Done",1,IF(K69="Đang làm",0.5,IF(K69="Blocked",0.25,0))))</x:f>
        <x:v>0</x:v>
      </x:c>
      <x:c r="M69" s="30" t="str"/>
      <x:c r="N69" s="30" t="str"/>
    </x:row>
    <x:row r="70">
      <x:c r="A70" s="30" t="str">
        <x:v>M02</x:v>
      </x:c>
      <x:c r="B70" s="30" t="str">
        <x:v>M02-F028</x:v>
      </x:c>
      <x:c r="C70" s="30" t="str">
        <x:v>P1</x:v>
      </x:c>
      <x:c r="D70" s="30" t="str">
        <x:v>KEEP</x:v>
      </x:c>
      <x:c r="E70" s="30" t="str">
        <x:v>K-WP04</x:v>
      </x:c>
      <x:c r="F70" s="30" t="str">
        <x:v>Khải</x:v>
      </x:c>
      <x:c r="G70" s="30" t="str">
        <x:v>Kiểm tra các HTTP security header (HSTS, CSP, X-Frame-Options)</x:v>
      </x:c>
      <x:c r="H70" s="30" t="str">
        <x:v>`K04-05`</x:v>
      </x:c>
      <x:c r="I70" s="30" t="str">
        <x:v>Khải</x:v>
      </x:c>
      <x:c r="J70" s="30" t="str">
        <x:v>☐</x:v>
      </x:c>
      <x:c r="K70" s="30" t="str">
        <x:v>Chưa bắt đầu</x:v>
      </x:c>
      <x:c r="L70" s="40" t="n">
        <x:f>IF(J70="☑",1,IF(K70="Done",1,IF(K70="Đang làm",0.5,IF(K70="Blocked",0.25,0))))</x:f>
        <x:v>0</x:v>
      </x:c>
      <x:c r="M70" s="30" t="str"/>
      <x:c r="N70" s="30" t="str"/>
    </x:row>
    <x:row r="71">
      <x:c r="A71" s="30" t="str">
        <x:v>M02</x:v>
      </x:c>
      <x:c r="B71" s="30" t="str">
        <x:v>M02-F029</x:v>
      </x:c>
      <x:c r="C71" s="30" t="str">
        <x:v>P2</x:v>
      </x:c>
      <x:c r="D71" s="30" t="str">
        <x:v>KEEP</x:v>
      </x:c>
      <x:c r="E71" s="30" t="str">
        <x:v>K-WP04</x:v>
      </x:c>
      <x:c r="F71" s="30" t="str">
        <x:v>Khải</x:v>
      </x:c>
      <x:c r="G71" s="30" t="str">
        <x:v>Tra Certificate Transparency log để tìm chứng chỉ khả nghi của thương hiệu</x:v>
      </x:c>
      <x:c r="H71" s="30" t="str">
        <x:v>`K04-06`</x:v>
      </x:c>
      <x:c r="I71" s="30" t="str">
        <x:v>Khải</x:v>
      </x:c>
      <x:c r="J71" s="30" t="str">
        <x:v>☐</x:v>
      </x:c>
      <x:c r="K71" s="30" t="str">
        <x:v>Chưa bắt đầu</x:v>
      </x:c>
      <x:c r="L71" s="40" t="n">
        <x:f>IF(J71="☑",1,IF(K71="Done",1,IF(K71="Đang làm",0.5,IF(K71="Blocked",0.25,0))))</x:f>
        <x:v>0</x:v>
      </x:c>
      <x:c r="M71" s="30" t="str"/>
      <x:c r="N71" s="30" t="str"/>
    </x:row>
    <x:row r="72">
      <x:c r="A72" s="30" t="str">
        <x:v>M02</x:v>
      </x:c>
      <x:c r="B72" s="30" t="str">
        <x:v>M02-F030</x:v>
      </x:c>
      <x:c r="C72" s="30" t="str">
        <x:v>P2</x:v>
      </x:c>
      <x:c r="D72" s="30" t="str">
        <x:v>KEEP</x:v>
      </x:c>
      <x:c r="E72" s="30" t="str">
        <x:v>K-WP04</x:v>
      </x:c>
      <x:c r="F72" s="30" t="str">
        <x:v>Khải</x:v>
      </x:c>
      <x:c r="G72" s="30" t="str">
        <x:v>Cảnh báo bộ mã hoá TLS yếu</x:v>
      </x:c>
      <x:c r="H72" s="30" t="str">
        <x:v>`K04-07`</x:v>
      </x:c>
      <x:c r="I72" s="30" t="str">
        <x:v>Khải</x:v>
      </x:c>
      <x:c r="J72" s="30" t="str">
        <x:v>☐</x:v>
      </x:c>
      <x:c r="K72" s="30" t="str">
        <x:v>Chưa bắt đầu</x:v>
      </x:c>
      <x:c r="L72" s="40" t="n">
        <x:f>IF(J72="☑",1,IF(K72="Done",1,IF(K72="Đang làm",0.5,IF(K72="Blocked",0.25,0))))</x:f>
        <x:v>0</x:v>
      </x:c>
      <x:c r="M72" s="30" t="str"/>
      <x:c r="N72" s="30" t="str"/>
    </x:row>
    <x:row r="73">
      <x:c r="A73" s="30" t="str">
        <x:v>M02</x:v>
      </x:c>
      <x:c r="B73" s="30" t="str">
        <x:v>M02-F031</x:v>
      </x:c>
      <x:c r="C73" s="30" t="str">
        <x:v>P0</x:v>
      </x:c>
      <x:c r="D73" s="30" t="str">
        <x:v>KEEP</x:v>
      </x:c>
      <x:c r="E73" s="30" t="str">
        <x:v>K-WP05</x:v>
      </x:c>
      <x:c r="F73" s="30" t="str">
        <x:v>Khải</x:v>
      </x:c>
      <x:c r="G73" s="30" t="str">
        <x:v>Parse HTML bằng Jsoup, trích xuất toàn bộ `&lt;form&gt;` và `&lt;input&gt;`</x:v>
      </x:c>
      <x:c r="H73" s="30" t="str">
        <x:v>`K05-01`</x:v>
      </x:c>
      <x:c r="I73" s="30" t="str">
        <x:v>Khải</x:v>
      </x:c>
      <x:c r="J73" s="30" t="str">
        <x:v>☐</x:v>
      </x:c>
      <x:c r="K73" s="30" t="str">
        <x:v>Chưa bắt đầu</x:v>
      </x:c>
      <x:c r="L73" s="40" t="n">
        <x:f>IF(J73="☑",1,IF(K73="Done",1,IF(K73="Đang làm",0.5,IF(K73="Blocked",0.25,0))))</x:f>
        <x:v>0</x:v>
      </x:c>
      <x:c r="M73" s="30" t="str"/>
      <x:c r="N73" s="30" t="str"/>
    </x:row>
    <x:row r="74">
      <x:c r="A74" s="30" t="str">
        <x:v>M02</x:v>
      </x:c>
      <x:c r="B74" s="30" t="str">
        <x:v>M02-F032</x:v>
      </x:c>
      <x:c r="C74" s="30" t="str">
        <x:v>P0</x:v>
      </x:c>
      <x:c r="D74" s="30" t="str">
        <x:v>KEEP</x:v>
      </x:c>
      <x:c r="E74" s="30" t="str">
        <x:v>K-WP05</x:v>
      </x:c>
      <x:c r="F74" s="30" t="str">
        <x:v>Khải</x:v>
      </x:c>
      <x:c r="G74" s="30" t="str">
        <x:v>Phát hiện input nhạy cảm: password, OTP, PIN, CVV, số thẻ, CCCD, số tài khoản</x:v>
      </x:c>
      <x:c r="H74" s="30" t="str">
        <x:v>`K05-02`</x:v>
      </x:c>
      <x:c r="I74" s="30" t="str">
        <x:v>Khải</x:v>
      </x:c>
      <x:c r="J74" s="30" t="str">
        <x:v>☐</x:v>
      </x:c>
      <x:c r="K74" s="30" t="str">
        <x:v>Chưa bắt đầu</x:v>
      </x:c>
      <x:c r="L74" s="40" t="n">
        <x:f>IF(J74="☑",1,IF(K74="Done",1,IF(K74="Đang làm",0.5,IF(K74="Blocked",0.25,0))))</x:f>
        <x:v>0</x:v>
      </x:c>
      <x:c r="M74" s="30" t="str"/>
      <x:c r="N74" s="30" t="str"/>
    </x:row>
    <x:row r="75">
      <x:c r="A75" s="30" t="str">
        <x:v>M02</x:v>
      </x:c>
      <x:c r="B75" s="30" t="str">
        <x:v>M02-F033</x:v>
      </x:c>
      <x:c r="C75" s="30" t="str">
        <x:v>P0</x:v>
      </x:c>
      <x:c r="D75" s="30" t="str">
        <x:v>KEEP</x:v>
      </x:c>
      <x:c r="E75" s="30" t="str">
        <x:v>K-WP05</x:v>
      </x:c>
      <x:c r="F75" s="30" t="str">
        <x:v>Khải</x:v>
      </x:c>
      <x:c r="G75" s="30" t="str">
        <x:v>Cảnh báo `form action` trỏ sang tên miền khác hoặc không dùng HTTPS</x:v>
      </x:c>
      <x:c r="H75" s="30" t="str">
        <x:v>`K05-03`</x:v>
      </x:c>
      <x:c r="I75" s="30" t="str">
        <x:v>Khải</x:v>
      </x:c>
      <x:c r="J75" s="30" t="str">
        <x:v>☐</x:v>
      </x:c>
      <x:c r="K75" s="30" t="str">
        <x:v>Chưa bắt đầu</x:v>
      </x:c>
      <x:c r="L75" s="40" t="n">
        <x:f>IF(J75="☑",1,IF(K75="Done",1,IF(K75="Đang làm",0.5,IF(K75="Blocked",0.25,0))))</x:f>
        <x:v>0</x:v>
      </x:c>
      <x:c r="M75" s="30" t="str"/>
      <x:c r="N75" s="30" t="str"/>
    </x:row>
    <x:row r="76">
      <x:c r="A76" s="30" t="str">
        <x:v>M02</x:v>
      </x:c>
      <x:c r="B76" s="30" t="str">
        <x:v>M02-F034</x:v>
      </x:c>
      <x:c r="C76" s="30" t="str">
        <x:v>P1</x:v>
      </x:c>
      <x:c r="D76" s="30" t="str">
        <x:v>KEEP</x:v>
      </x:c>
      <x:c r="E76" s="30" t="str">
        <x:v>K-WP05</x:v>
      </x:c>
      <x:c r="F76" s="30" t="str">
        <x:v>Khải</x:v>
      </x:c>
      <x:c r="G76" s="30" t="str">
        <x:v>Tìm từ khoá lừa đảo trong nội dung công khai của trang</x:v>
      </x:c>
      <x:c r="H76" s="30" t="str">
        <x:v>`K05-04`</x:v>
      </x:c>
      <x:c r="I76" s="30" t="str">
        <x:v>Khải</x:v>
      </x:c>
      <x:c r="J76" s="30" t="str">
        <x:v>☐</x:v>
      </x:c>
      <x:c r="K76" s="30" t="str">
        <x:v>Chưa bắt đầu</x:v>
      </x:c>
      <x:c r="L76" s="40" t="n">
        <x:f>IF(J76="☑",1,IF(K76="Done",1,IF(K76="Đang làm",0.5,IF(K76="Blocked",0.25,0))))</x:f>
        <x:v>0</x:v>
      </x:c>
      <x:c r="M76" s="30" t="str"/>
      <x:c r="N76" s="30" t="str"/>
    </x:row>
    <x:row r="77">
      <x:c r="A77" s="30" t="str">
        <x:v>M02</x:v>
      </x:c>
      <x:c r="B77" s="30" t="str">
        <x:v>M02-F035</x:v>
      </x:c>
      <x:c r="C77" s="30" t="str">
        <x:v>P1</x:v>
      </x:c>
      <x:c r="D77" s="30" t="str">
        <x:v>KEEP</x:v>
      </x:c>
      <x:c r="E77" s="30" t="str">
        <x:v>K-WP05</x:v>
      </x:c>
      <x:c r="F77" s="30" t="str">
        <x:v>Khải</x:v>
      </x:c>
      <x:c r="G77" s="30" t="str">
        <x:v>Phát hiện trang sao chép giao diện thương hiệu (logo, favicon, tiêu đề)</x:v>
      </x:c>
      <x:c r="H77" s="30" t="str">
        <x:v>`K05-05`</x:v>
      </x:c>
      <x:c r="I77" s="30" t="str">
        <x:v>Khải</x:v>
      </x:c>
      <x:c r="J77" s="30" t="str">
        <x:v>☐</x:v>
      </x:c>
      <x:c r="K77" s="30" t="str">
        <x:v>Chưa bắt đầu</x:v>
      </x:c>
      <x:c r="L77" s="40" t="n">
        <x:f>IF(J77="☑",1,IF(K77="Done",1,IF(K77="Đang làm",0.5,IF(K77="Blocked",0.25,0))))</x:f>
        <x:v>0</x:v>
      </x:c>
      <x:c r="M77" s="30" t="str"/>
      <x:c r="N77" s="30" t="str"/>
    </x:row>
    <x:row r="78">
      <x:c r="A78" s="30" t="str">
        <x:v>M02</x:v>
      </x:c>
      <x:c r="B78" s="30" t="str">
        <x:v>M02-F036</x:v>
      </x:c>
      <x:c r="C78" s="30" t="str">
        <x:v>P1</x:v>
      </x:c>
      <x:c r="D78" s="30" t="str">
        <x:v>KEEP</x:v>
      </x:c>
      <x:c r="E78" s="30" t="str">
        <x:v>K-WP05</x:v>
      </x:c>
      <x:c r="F78" s="30" t="str">
        <x:v>Khải</x:v>
      </x:c>
      <x:c r="G78" s="30" t="str">
        <x:v>Phát hiện iframe ẩn và input bị che</x:v>
      </x:c>
      <x:c r="H78" s="30" t="str">
        <x:v>`K05-06`</x:v>
      </x:c>
      <x:c r="I78" s="30" t="str">
        <x:v>Khải</x:v>
      </x:c>
      <x:c r="J78" s="30" t="str">
        <x:v>☐</x:v>
      </x:c>
      <x:c r="K78" s="30" t="str">
        <x:v>Chưa bắt đầu</x:v>
      </x:c>
      <x:c r="L78" s="40" t="n">
        <x:f>IF(J78="☑",1,IF(K78="Done",1,IF(K78="Đang làm",0.5,IF(K78="Blocked",0.25,0))))</x:f>
        <x:v>0</x:v>
      </x:c>
      <x:c r="M78" s="30" t="str"/>
      <x:c r="N78" s="30" t="str"/>
    </x:row>
    <x:row r="79">
      <x:c r="A79" s="30" t="str">
        <x:v>M02</x:v>
      </x:c>
      <x:c r="B79" s="30" t="str">
        <x:v>M02-F037</x:v>
      </x:c>
      <x:c r="C79" s="30" t="str">
        <x:v>P2</x:v>
      </x:c>
      <x:c r="D79" s="30" t="str">
        <x:v>KEEP</x:v>
      </x:c>
      <x:c r="E79" s="30" t="str">
        <x:v>K-WP05</x:v>
      </x:c>
      <x:c r="F79" s="30" t="str">
        <x:v>Khải</x:v>
      </x:c>
      <x:c r="G79" s="30" t="str">
        <x:v>So khớp mã nguồn trang với bộ kit phishing đã biết</x:v>
      </x:c>
      <x:c r="H79" s="30" t="str">
        <x:v>`K05-07`</x:v>
      </x:c>
      <x:c r="I79" s="30" t="str">
        <x:v>Khải</x:v>
      </x:c>
      <x:c r="J79" s="30" t="str">
        <x:v>☐</x:v>
      </x:c>
      <x:c r="K79" s="30" t="str">
        <x:v>Chưa bắt đầu</x:v>
      </x:c>
      <x:c r="L79" s="40" t="n">
        <x:f>IF(J79="☑",1,IF(K79="Done",1,IF(K79="Đang làm",0.5,IF(K79="Blocked",0.25,0))))</x:f>
        <x:v>0</x:v>
      </x:c>
      <x:c r="M79" s="30" t="str"/>
      <x:c r="N79" s="30" t="str"/>
    </x:row>
    <x:row r="80">
      <x:c r="A80" s="30" t="str">
        <x:v>M02</x:v>
      </x:c>
      <x:c r="B80" s="30" t="str">
        <x:v>M02-F038</x:v>
      </x:c>
      <x:c r="C80" s="30" t="str">
        <x:v>P2</x:v>
      </x:c>
      <x:c r="D80" s="30" t="str">
        <x:v>KEEP</x:v>
      </x:c>
      <x:c r="E80" s="30" t="str">
        <x:v>K-WP05</x:v>
      </x:c>
      <x:c r="F80" s="30" t="str">
        <x:v>Khải</x:v>
      </x:c>
      <x:c r="G80" s="30" t="str">
        <x:v>Phát hiện obfuscated JavaScript</x:v>
      </x:c>
      <x:c r="H80" s="30" t="str">
        <x:v>`K05-08`</x:v>
      </x:c>
      <x:c r="I80" s="30" t="str">
        <x:v>Khải</x:v>
      </x:c>
      <x:c r="J80" s="30" t="str">
        <x:v>☐</x:v>
      </x:c>
      <x:c r="K80" s="30" t="str">
        <x:v>Chưa bắt đầu</x:v>
      </x:c>
      <x:c r="L80" s="40" t="n">
        <x:f>IF(J80="☑",1,IF(K80="Done",1,IF(K80="Đang làm",0.5,IF(K80="Blocked",0.25,0))))</x:f>
        <x:v>0</x:v>
      </x:c>
      <x:c r="M80" s="30" t="str"/>
      <x:c r="N80" s="30" t="str"/>
    </x:row>
    <x:row r="81">
      <x:c r="A81" s="30" t="str">
        <x:v>M02</x:v>
      </x:c>
      <x:c r="B81" s="30" t="str">
        <x:v>M02-F039</x:v>
      </x:c>
      <x:c r="C81" s="30" t="str">
        <x:v>P0</x:v>
      </x:c>
      <x:c r="D81" s="30" t="str">
        <x:v>KEEP</x:v>
      </x:c>
      <x:c r="E81" s="30" t="str">
        <x:v>K-WP06</x:v>
      </x:c>
      <x:c r="F81" s="30" t="str">
        <x:v>Khải</x:v>
      </x:c>
      <x:c r="G81" s="30" t="str">
        <x:v>So khoảng cách Levenshtein giữa tên miền và danh sách thương hiệu</x:v>
      </x:c>
      <x:c r="H81" s="30" t="str">
        <x:v>`K06-01`</x:v>
      </x:c>
      <x:c r="I81" s="30" t="str">
        <x:v>Khải</x:v>
      </x:c>
      <x:c r="J81" s="30" t="str">
        <x:v>☐</x:v>
      </x:c>
      <x:c r="K81" s="30" t="str">
        <x:v>Chưa bắt đầu</x:v>
      </x:c>
      <x:c r="L81" s="40" t="n">
        <x:f>IF(J81="☑",1,IF(K81="Done",1,IF(K81="Đang làm",0.5,IF(K81="Blocked",0.25,0))))</x:f>
        <x:v>0</x:v>
      </x:c>
      <x:c r="M81" s="30" t="str"/>
      <x:c r="N81" s="30" t="str"/>
    </x:row>
    <x:row r="82">
      <x:c r="A82" s="30" t="str">
        <x:v>M02</x:v>
      </x:c>
      <x:c r="B82" s="30" t="str">
        <x:v>M02-F040</x:v>
      </x:c>
      <x:c r="C82" s="30" t="str">
        <x:v>P0</x:v>
      </x:c>
      <x:c r="D82" s="30" t="str">
        <x:v>KEEP</x:v>
      </x:c>
      <x:c r="E82" s="30" t="str">
        <x:v>K-WP06</x:v>
      </x:c>
      <x:c r="F82" s="30" t="str">
        <x:v>Khải</x:v>
      </x:c>
      <x:c r="G82" s="30" t="str">
        <x:v>Phát hiện tên miền lộ ra thương hiệu sau khi gỡ leetspeak</x:v>
      </x:c>
      <x:c r="H82" s="30" t="str">
        <x:v>`K06-02`</x:v>
      </x:c>
      <x:c r="I82" s="30" t="str">
        <x:v>Khải</x:v>
      </x:c>
      <x:c r="J82" s="30" t="str">
        <x:v>☐</x:v>
      </x:c>
      <x:c r="K82" s="30" t="str">
        <x:v>Chưa bắt đầu</x:v>
      </x:c>
      <x:c r="L82" s="40" t="n">
        <x:f>IF(J82="☑",1,IF(K82="Done",1,IF(K82="Đang làm",0.5,IF(K82="Blocked",0.25,0))))</x:f>
        <x:v>0</x:v>
      </x:c>
      <x:c r="M82" s="30" t="str"/>
      <x:c r="N82" s="30" t="str"/>
    </x:row>
    <x:row r="83">
      <x:c r="A83" s="30" t="str">
        <x:v>M02</x:v>
      </x:c>
      <x:c r="B83" s="30" t="str">
        <x:v>M02-F041</x:v>
      </x:c>
      <x:c r="C83" s="30" t="str">
        <x:v>P1</x:v>
      </x:c>
      <x:c r="D83" s="30" t="str">
        <x:v>KEEP</x:v>
      </x:c>
      <x:c r="E83" s="30" t="str">
        <x:v>K-WP06</x:v>
      </x:c>
      <x:c r="F83" s="30" t="str">
        <x:v>Khải</x:v>
      </x:c>
      <x:c r="G83" s="30" t="str">
        <x:v>Phát hiện ký tự đồng hình Unicode (homoglyph, tên miền IDN)</x:v>
      </x:c>
      <x:c r="H83" s="30" t="str">
        <x:v>`K06-03`</x:v>
      </x:c>
      <x:c r="I83" s="30" t="str">
        <x:v>Khải</x:v>
      </x:c>
      <x:c r="J83" s="30" t="str">
        <x:v>☐</x:v>
      </x:c>
      <x:c r="K83" s="30" t="str">
        <x:v>Chưa bắt đầu</x:v>
      </x:c>
      <x:c r="L83" s="40" t="n">
        <x:f>IF(J83="☑",1,IF(K83="Done",1,IF(K83="Đang làm",0.5,IF(K83="Blocked",0.25,0))))</x:f>
        <x:v>0</x:v>
      </x:c>
      <x:c r="M83" s="30" t="str"/>
      <x:c r="N83" s="30" t="str"/>
    </x:row>
    <x:row r="84">
      <x:c r="A84" s="30" t="str">
        <x:v>M02</x:v>
      </x:c>
      <x:c r="B84" s="30" t="str">
        <x:v>M02-F042</x:v>
      </x:c>
      <x:c r="C84" s="30" t="str">
        <x:v>P1</x:v>
      </x:c>
      <x:c r="D84" s="30" t="str">
        <x:v>KEEP</x:v>
      </x:c>
      <x:c r="E84" s="30" t="str">
        <x:v>K-WP06</x:v>
      </x:c>
      <x:c r="F84" s="30" t="str">
        <x:v>Khải</x:v>
      </x:c>
      <x:c r="G84" s="30" t="str">
        <x:v>Phát hiện thương hiệu nằm ở subdomain (`vietcombank.kẻ-gian.com`)</x:v>
      </x:c>
      <x:c r="H84" s="30" t="str">
        <x:v>`K06-04`</x:v>
      </x:c>
      <x:c r="I84" s="30" t="str">
        <x:v>Khải</x:v>
      </x:c>
      <x:c r="J84" s="30" t="str">
        <x:v>☐</x:v>
      </x:c>
      <x:c r="K84" s="30" t="str">
        <x:v>Chưa bắt đầu</x:v>
      </x:c>
      <x:c r="L84" s="40" t="n">
        <x:f>IF(J84="☑",1,IF(K84="Done",1,IF(K84="Đang làm",0.5,IF(K84="Blocked",0.25,0))))</x:f>
        <x:v>0</x:v>
      </x:c>
      <x:c r="M84" s="30" t="str"/>
      <x:c r="N84" s="30" t="str"/>
    </x:row>
    <x:row r="85">
      <x:c r="A85" s="30" t="str">
        <x:v>M02</x:v>
      </x:c>
      <x:c r="B85" s="30" t="str">
        <x:v>M02-F043</x:v>
      </x:c>
      <x:c r="C85" s="30" t="str">
        <x:v>P1</x:v>
      </x:c>
      <x:c r="D85" s="30" t="str">
        <x:v>KEEP</x:v>
      </x:c>
      <x:c r="E85" s="30" t="str">
        <x:v>K-WP06</x:v>
      </x:c>
      <x:c r="F85" s="30" t="str">
        <x:v>Khải</x:v>
      </x:c>
      <x:c r="G85" s="30" t="str">
        <x:v>Phát hiện thêm/bớt dấu gạch nối, đảo ký tự, thêm từ (`-verify`, `-secure`)</x:v>
      </x:c>
      <x:c r="H85" s="30" t="str">
        <x:v>`K06-05`</x:v>
      </x:c>
      <x:c r="I85" s="30" t="str">
        <x:v>Khải</x:v>
      </x:c>
      <x:c r="J85" s="30" t="str">
        <x:v>☐</x:v>
      </x:c>
      <x:c r="K85" s="30" t="str">
        <x:v>Chưa bắt đầu</x:v>
      </x:c>
      <x:c r="L85" s="40" t="n">
        <x:f>IF(J85="☑",1,IF(K85="Done",1,IF(K85="Đang làm",0.5,IF(K85="Blocked",0.25,0))))</x:f>
        <x:v>0</x:v>
      </x:c>
      <x:c r="M85" s="30" t="str"/>
      <x:c r="N85" s="30" t="str"/>
    </x:row>
    <x:row r="86">
      <x:c r="A86" s="30" t="str">
        <x:v>M02</x:v>
      </x:c>
      <x:c r="B86" s="30" t="str">
        <x:v>M02-F044</x:v>
      </x:c>
      <x:c r="C86" s="30" t="str">
        <x:v>P2</x:v>
      </x:c>
      <x:c r="D86" s="30" t="str">
        <x:v>KEEP</x:v>
      </x:c>
      <x:c r="E86" s="30" t="str">
        <x:v>K-WP06</x:v>
      </x:c>
      <x:c r="F86" s="30" t="str">
        <x:v>Khải</x:v>
      </x:c>
      <x:c r="G86" s="30" t="str">
        <x:v>Quản lý danh sách thương hiệu qua trang admin</x:v>
      </x:c>
      <x:c r="H86" s="30" t="str">
        <x:v>`K06-06`</x:v>
      </x:c>
      <x:c r="I86" s="30" t="str">
        <x:v>Khải</x:v>
      </x:c>
      <x:c r="J86" s="30" t="str">
        <x:v>☐</x:v>
      </x:c>
      <x:c r="K86" s="30" t="str">
        <x:v>Chưa bắt đầu</x:v>
      </x:c>
      <x:c r="L86" s="40" t="n">
        <x:f>IF(J86="☑",1,IF(K86="Done",1,IF(K86="Đang làm",0.5,IF(K86="Blocked",0.25,0))))</x:f>
        <x:v>0</x:v>
      </x:c>
      <x:c r="M86" s="30" t="str"/>
      <x:c r="N86" s="30" t="str"/>
    </x:row>
    <x:row r="87">
      <x:c r="A87" s="30" t="str">
        <x:v>M02</x:v>
      </x:c>
      <x:c r="B87" s="30" t="str">
        <x:v>M02-F045</x:v>
      </x:c>
      <x:c r="C87" s="30" t="str">
        <x:v>P2</x:v>
      </x:c>
      <x:c r="D87" s="30" t="str">
        <x:v>KEEP</x:v>
      </x:c>
      <x:c r="E87" s="30" t="str">
        <x:v>K-WP06</x:v>
      </x:c>
      <x:c r="F87" s="30" t="str">
        <x:v>Khải</x:v>
      </x:c>
      <x:c r="G87" s="30" t="str">
        <x:v>Tra tuổi tên miền qua WHOIS, cảnh báo tên miền mới đăng ký</x:v>
      </x:c>
      <x:c r="H87" s="30" t="str">
        <x:v>`K06-07`</x:v>
      </x:c>
      <x:c r="I87" s="30" t="str">
        <x:v>Khải</x:v>
      </x:c>
      <x:c r="J87" s="30" t="str">
        <x:v>☐</x:v>
      </x:c>
      <x:c r="K87" s="30" t="str">
        <x:v>Chưa bắt đầu</x:v>
      </x:c>
      <x:c r="L87" s="40" t="n">
        <x:f>IF(J87="☑",1,IF(K87="Done",1,IF(K87="Đang làm",0.5,IF(K87="Blocked",0.25,0))))</x:f>
        <x:v>0</x:v>
      </x:c>
      <x:c r="M87" s="30" t="str"/>
      <x:c r="N87" s="30" t="str"/>
    </x:row>
    <x:row r="88">
      <x:c r="A88" s="30" t="str">
        <x:v>M02</x:v>
      </x:c>
      <x:c r="B88" s="30" t="str">
        <x:v>M02-F046</x:v>
      </x:c>
      <x:c r="C88" s="30" t="str">
        <x:v>P1</x:v>
      </x:c>
      <x:c r="D88" s="30" t="str">
        <x:v>KEEP</x:v>
      </x:c>
      <x:c r="E88" s="30" t="str">
        <x:v>K-WP07</x:v>
      </x:c>
      <x:c r="F88" s="30" t="str">
        <x:v>Khải</x:v>
      </x:c>
      <x:c r="G88" s="30" t="str">
        <x:v>Lưu HTML thô của trang tại thời điểm quét làm bằng chứng</x:v>
      </x:c>
      <x:c r="H88" s="30" t="str">
        <x:v>`K09-01`</x:v>
      </x:c>
      <x:c r="I88" s="30" t="str">
        <x:v>Khải</x:v>
      </x:c>
      <x:c r="J88" s="30" t="str">
        <x:v>☐</x:v>
      </x:c>
      <x:c r="K88" s="30" t="str">
        <x:v>Chưa bắt đầu</x:v>
      </x:c>
      <x:c r="L88" s="40" t="n">
        <x:f>IF(J88="☑",1,IF(K88="Done",1,IF(K88="Đang làm",0.5,IF(K88="Blocked",0.25,0))))</x:f>
        <x:v>0</x:v>
      </x:c>
      <x:c r="M88" s="30" t="str"/>
      <x:c r="N88" s="30" t="str"/>
    </x:row>
    <x:row r="89">
      <x:c r="A89" s="30" t="str">
        <x:v>M02</x:v>
      </x:c>
      <x:c r="B89" s="30" t="str">
        <x:v>M02-F047</x:v>
      </x:c>
      <x:c r="C89" s="30" t="str">
        <x:v>P1</x:v>
      </x:c>
      <x:c r="D89" s="30" t="str">
        <x:v>KEEP</x:v>
      </x:c>
      <x:c r="E89" s="30" t="str">
        <x:v>K-WP07</x:v>
      </x:c>
      <x:c r="F89" s="30" t="str">
        <x:v>Khải</x:v>
      </x:c>
      <x:c r="G89" s="30" t="str">
        <x:v>Chụp ảnh màn hình trang bằng headless browser</x:v>
      </x:c>
      <x:c r="H89" s="30" t="str">
        <x:v>`K09-02`</x:v>
      </x:c>
      <x:c r="I89" s="30" t="str">
        <x:v>Khải</x:v>
      </x:c>
      <x:c r="J89" s="30" t="str">
        <x:v>☐</x:v>
      </x:c>
      <x:c r="K89" s="30" t="str">
        <x:v>Chưa bắt đầu</x:v>
      </x:c>
      <x:c r="L89" s="40" t="n">
        <x:f>IF(J89="☑",1,IF(K89="Done",1,IF(K89="Đang làm",0.5,IF(K89="Blocked",0.25,0))))</x:f>
        <x:v>0</x:v>
      </x:c>
      <x:c r="M89" s="30" t="str"/>
      <x:c r="N89" s="30" t="str"/>
    </x:row>
    <x:row r="90">
      <x:c r="A90" s="30" t="str">
        <x:v>M02</x:v>
      </x:c>
      <x:c r="B90" s="30" t="str">
        <x:v>M02-F048</x:v>
      </x:c>
      <x:c r="C90" s="30" t="str">
        <x:v>P1</x:v>
      </x:c>
      <x:c r="D90" s="30" t="str">
        <x:v>KEEP</x:v>
      </x:c>
      <x:c r="E90" s="30" t="str">
        <x:v>K-WP07</x:v>
      </x:c>
      <x:c r="F90" s="30" t="str">
        <x:v>Khải</x:v>
      </x:c>
      <x:c r="G90" s="30" t="str">
        <x:v>Lưu file vào object storage (MinIO / S3-compatible)</x:v>
      </x:c>
      <x:c r="H90" s="30" t="str">
        <x:v>`K09-03`</x:v>
      </x:c>
      <x:c r="I90" s="30" t="str">
        <x:v>Khải</x:v>
      </x:c>
      <x:c r="J90" s="30" t="str">
        <x:v>☐</x:v>
      </x:c>
      <x:c r="K90" s="30" t="str">
        <x:v>Chưa bắt đầu</x:v>
      </x:c>
      <x:c r="L90" s="40" t="n">
        <x:f>IF(J90="☑",1,IF(K90="Done",1,IF(K90="Đang làm",0.5,IF(K90="Blocked",0.25,0))))</x:f>
        <x:v>0</x:v>
      </x:c>
      <x:c r="M90" s="30" t="str"/>
      <x:c r="N90" s="30" t="str"/>
    </x:row>
    <x:row r="91">
      <x:c r="A91" s="30" t="str">
        <x:v>M02</x:v>
      </x:c>
      <x:c r="B91" s="30" t="str">
        <x:v>M02-F049</x:v>
      </x:c>
      <x:c r="C91" s="30" t="str">
        <x:v>P1</x:v>
      </x:c>
      <x:c r="D91" s="30" t="str">
        <x:v>KEEP</x:v>
      </x:c>
      <x:c r="E91" s="30" t="str">
        <x:v>K-WP07</x:v>
      </x:c>
      <x:c r="F91" s="30" t="str">
        <x:v>Khải</x:v>
      </x:c>
      <x:c r="G91" s="30" t="str">
        <x:v>Sinh URL tạm có hạn để xem bằng chứng</x:v>
      </x:c>
      <x:c r="H91" s="30" t="str">
        <x:v>`K09-04`</x:v>
      </x:c>
      <x:c r="I91" s="30" t="str">
        <x:v>Khải</x:v>
      </x:c>
      <x:c r="J91" s="30" t="str">
        <x:v>☐</x:v>
      </x:c>
      <x:c r="K91" s="30" t="str">
        <x:v>Chưa bắt đầu</x:v>
      </x:c>
      <x:c r="L91" s="40" t="n">
        <x:f>IF(J91="☑",1,IF(K91="Done",1,IF(K91="Đang làm",0.5,IF(K91="Blocked",0.25,0))))</x:f>
        <x:v>0</x:v>
      </x:c>
      <x:c r="M91" s="30" t="str"/>
      <x:c r="N91" s="30" t="str"/>
    </x:row>
    <x:row r="92">
      <x:c r="A92" s="30" t="str">
        <x:v>M02</x:v>
      </x:c>
      <x:c r="B92" s="30" t="str">
        <x:v>M02-F050</x:v>
      </x:c>
      <x:c r="C92" s="30" t="str">
        <x:v>P2</x:v>
      </x:c>
      <x:c r="D92" s="30" t="str">
        <x:v>KEEP</x:v>
      </x:c>
      <x:c r="E92" s="30" t="str">
        <x:v>K-WP07</x:v>
      </x:c>
      <x:c r="F92" s="30" t="str">
        <x:v>Khải</x:v>
      </x:c>
      <x:c r="G92" s="30" t="str">
        <x:v>Băm nội dung để chứng minh bằng chứng không bị sửa</x:v>
      </x:c>
      <x:c r="H92" s="30" t="str">
        <x:v>`K09-05`</x:v>
      </x:c>
      <x:c r="I92" s="30" t="str">
        <x:v>Khải</x:v>
      </x:c>
      <x:c r="J92" s="30" t="str">
        <x:v>☐</x:v>
      </x:c>
      <x:c r="K92" s="30" t="str">
        <x:v>Chưa bắt đầu</x:v>
      </x:c>
      <x:c r="L92" s="40" t="n">
        <x:f>IF(J92="☑",1,IF(K92="Done",1,IF(K92="Đang làm",0.5,IF(K92="Blocked",0.25,0))))</x:f>
        <x:v>0</x:v>
      </x:c>
      <x:c r="M92" s="30" t="str"/>
      <x:c r="N92" s="30" t="str"/>
    </x:row>
    <x:row r="93">
      <x:c r="A93" s="30" t="str">
        <x:v>M02</x:v>
      </x:c>
      <x:c r="B93" s="30" t="str">
        <x:v>M02-F051</x:v>
      </x:c>
      <x:c r="C93" s="30" t="str">
        <x:v>P2</x:v>
      </x:c>
      <x:c r="D93" s="30" t="str">
        <x:v>KEEP</x:v>
      </x:c>
      <x:c r="E93" s="30" t="str">
        <x:v>K-WP07</x:v>
      </x:c>
      <x:c r="F93" s="30" t="str">
        <x:v>Khải</x:v>
      </x:c>
      <x:c r="G93" s="30" t="str">
        <x:v>Tự động xoá bằng chứng sau N ngày</x:v>
      </x:c>
      <x:c r="H93" s="30" t="str">
        <x:v>`K09-06`</x:v>
      </x:c>
      <x:c r="I93" s="30" t="str">
        <x:v>Khải</x:v>
      </x:c>
      <x:c r="J93" s="30" t="str">
        <x:v>☐</x:v>
      </x:c>
      <x:c r="K93" s="30" t="str">
        <x:v>Chưa bắt đầu</x:v>
      </x:c>
      <x:c r="L93" s="40" t="n">
        <x:f>IF(J93="☑",1,IF(K93="Done",1,IF(K93="Đang làm",0.5,IF(K93="Blocked",0.25,0))))</x:f>
        <x:v>0</x:v>
      </x:c>
      <x:c r="M93" s="30" t="str"/>
      <x:c r="N93" s="30" t="str"/>
    </x:row>
    <x:row r="94">
      <x:c r="A94" s="30" t="str">
        <x:v>M02</x:v>
      </x:c>
      <x:c r="B94" s="30" t="str">
        <x:v>M02-F052</x:v>
      </x:c>
      <x:c r="C94" s="30" t="str">
        <x:v>P2</x:v>
      </x:c>
      <x:c r="D94" s="30" t="str">
        <x:v>KEEP</x:v>
      </x:c>
      <x:c r="E94" s="30" t="str">
        <x:v>K-WP07</x:v>
      </x:c>
      <x:c r="F94" s="30" t="str">
        <x:v>Khải</x:v>
      </x:c>
      <x:c r="G94" s="30" t="str">
        <x:v>So sánh ảnh chụp với trang thật của thương hiệu</x:v>
      </x:c>
      <x:c r="H94" s="30" t="str">
        <x:v>`K09-07`</x:v>
      </x:c>
      <x:c r="I94" s="30" t="str">
        <x:v>Khải</x:v>
      </x:c>
      <x:c r="J94" s="30" t="str">
        <x:v>☐</x:v>
      </x:c>
      <x:c r="K94" s="30" t="str">
        <x:v>Chưa bắt đầu</x:v>
      </x:c>
      <x:c r="L94" s="40" t="n">
        <x:f>IF(J94="☑",1,IF(K94="Done",1,IF(K94="Đang làm",0.5,IF(K94="Blocked",0.25,0))))</x:f>
        <x:v>0</x:v>
      </x:c>
      <x:c r="M94" s="30" t="str"/>
      <x:c r="N94" s="30" t="str"/>
    </x:row>
    <x:row r="95">
      <x:c r="A95" s="30" t="str">
        <x:v>M02</x:v>
      </x:c>
      <x:c r="B95" s="30" t="str">
        <x:v>M02-F053</x:v>
      </x:c>
      <x:c r="C95" s="30" t="str">
        <x:v>P0</x:v>
      </x:c>
      <x:c r="D95" s="30" t="str">
        <x:v>KEEP</x:v>
      </x:c>
      <x:c r="E95" s="30" t="str">
        <x:v>K-WP08</x:v>
      </x:c>
      <x:c r="F95" s="30" t="str">
        <x:v>Khải</x:v>
      </x:c>
      <x:c r="G95" s="30" t="str">
        <x:v>Màn hình nhập liệu 4 tab: URL, văn bản, số điện thoại, số tài khoản</x:v>
      </x:c>
      <x:c r="H95" s="30" t="str">
        <x:v>`T11-02`</x:v>
      </x:c>
      <x:c r="I95" s="30" t="str">
        <x:v>Thắng</x:v>
      </x:c>
      <x:c r="J95" s="30" t="str">
        <x:v>☐</x:v>
      </x:c>
      <x:c r="K95" s="30" t="str">
        <x:v>Chưa bắt đầu</x:v>
      </x:c>
      <x:c r="L95" s="40" t="n">
        <x:f>IF(J95="☑",1,IF(K95="Done",1,IF(K95="Đang làm",0.5,IF(K95="Blocked",0.25,0))))</x:f>
        <x:v>0</x:v>
      </x:c>
      <x:c r="M95" s="30" t="str"/>
      <x:c r="N95" s="30" t="str"/>
    </x:row>
    <x:row r="96">
      <x:c r="A96" s="30" t="str">
        <x:v>M02</x:v>
      </x:c>
      <x:c r="B96" s="30" t="str">
        <x:v>M02-F054</x:v>
      </x:c>
      <x:c r="C96" s="30" t="str">
        <x:v>P0</x:v>
      </x:c>
      <x:c r="D96" s="30" t="str">
        <x:v>ADD</x:v>
      </x:c>
      <x:c r="E96" s="30" t="str">
        <x:v>K-WP08</x:v>
      </x:c>
      <x:c r="F96" s="30" t="str">
        <x:v>Khải</x:v>
      </x:c>
      <x:c r="G96" s="30" t="str">
        <x:v>URL Worker chỉ trả `AnalysisSignal[]`, `DerivedIndicator[]` và `pendingAiTasks[]`; Spring Boot/M12 mới aggregate, gọi M09 và persist final `RiskResult`.</x:v>
      </x:c>
      <x:c r="H96" s="30" t="str">
        <x:v>`ARCH-V3.2-01`</x:v>
      </x:c>
      <x:c r="I96" s="30" t="str">
        <x:v>—</x:v>
      </x:c>
      <x:c r="J96" s="30" t="str">
        <x:v>☐</x:v>
      </x:c>
      <x:c r="K96" s="30" t="str">
        <x:v>Chưa bắt đầu</x:v>
      </x:c>
      <x:c r="L96" s="40" t="n">
        <x:f>IF(J96="☑",1,IF(K96="Done",1,IF(K96="Đang làm",0.5,IF(K96="Blocked",0.25,0))))</x:f>
        <x:v>0</x:v>
      </x:c>
      <x:c r="M96" s="30" t="str"/>
      <x:c r="N96" s="30" t="str"/>
    </x:row>
    <x:row r="97">
      <x:c r="A97" s="30" t="str">
        <x:v>M02</x:v>
      </x:c>
      <x:c r="B97" s="30" t="str">
        <x:v>M02-F055</x:v>
      </x:c>
      <x:c r="C97" s="30" t="str">
        <x:v>P0</x:v>
      </x:c>
      <x:c r="D97" s="30" t="str">
        <x:v>ADD</x:v>
      </x:c>
      <x:c r="E97" s="30" t="str">
        <x:v>K-WP08</x:v>
      </x:c>
      <x:c r="F97" s="30" t="str">
        <x:v>Khải</x:v>
      </x:c>
      <x:c r="G97" s="30" t="str">
        <x:v>Spring Boot core pre-enrich known URL/domain reputation trước khi publish job; redirect/domain mới được worker trả về `DerivedIndicator` với `handling=REPUTATION_ONLY\| CHILD_SCAN`, worker không gọi ngược core.</x:v>
      </x:c>
      <x:c r="H97" s="30" t="str">
        <x:v>`ARCH-V3.2-02`</x:v>
      </x:c>
      <x:c r="I97" s="30" t="str">
        <x:v>—</x:v>
      </x:c>
      <x:c r="J97" s="30" t="str">
        <x:v>☐</x:v>
      </x:c>
      <x:c r="K97" s="30" t="str">
        <x:v>Chưa bắt đầu</x:v>
      </x:c>
      <x:c r="L97" s="40" t="n">
        <x:f>IF(J97="☑",1,IF(K97="Done",1,IF(K97="Đang làm",0.5,IF(K97="Blocked",0.25,0))))</x:f>
        <x:v>0</x:v>
      </x:c>
      <x:c r="M97" s="30" t="str"/>
      <x:c r="N97" s="30" t="str"/>
    </x:row>
    <x:row r="98">
      <x:c r="A98" s="30" t="str">
        <x:v>M02</x:v>
      </x:c>
      <x:c r="B98" s="30" t="str">
        <x:v>M02-F056</x:v>
      </x:c>
      <x:c r="C98" s="30" t="str">
        <x:v>P0</x:v>
      </x:c>
      <x:c r="D98" s="30" t="str">
        <x:v>ADD</x:v>
      </x:c>
      <x:c r="E98" s="30" t="str">
        <x:v>K-WP08</x:v>
      </x:c>
      <x:c r="F98" s="30" t="str">
        <x:v>Khải</x:v>
      </x:c>
      <x:c r="G98" s="30" t="str">
        <x:v>Deferred reputation chạy trong core qua `ThreatQuery`: Redis→PostgreSQL, timeout ban đầu 500 ms; unavailable → `REPUTATION_UNAVAILABLE` nhưng scan tiếp tục degraded khi phù hợp.</x:v>
      </x:c>
      <x:c r="H98" s="30" t="str">
        <x:v>`ARCH-V3.2-03`</x:v>
      </x:c>
      <x:c r="I98" s="30" t="str">
        <x:v>—</x:v>
      </x:c>
      <x:c r="J98" s="30" t="str">
        <x:v>☐</x:v>
      </x:c>
      <x:c r="K98" s="30" t="str">
        <x:v>Chưa bắt đầu</x:v>
      </x:c>
      <x:c r="L98" s="40" t="n">
        <x:f>IF(J98="☑",1,IF(K98="Done",1,IF(K98="Đang làm",0.5,IF(K98="Blocked",0.25,0))))</x:f>
        <x:v>0</x:v>
      </x:c>
      <x:c r="M98" s="30" t="str"/>
      <x:c r="N98" s="30" t="str"/>
    </x:row>
    <x:row r="99">
      <x:c r="A99" s="30" t="str">
        <x:v>M03</x:v>
      </x:c>
      <x:c r="B99" s="30" t="str">
        <x:v>M03-F001</x:v>
      </x:c>
      <x:c r="C99" s="30" t="str">
        <x:v>P0</x:v>
      </x:c>
      <x:c r="D99" s="30" t="str">
        <x:v>KEEP</x:v>
      </x:c>
      <x:c r="E99" s="30" t="str">
        <x:v>T-WP01</x:v>
      </x:c>
      <x:c r="F99" s="30" t="str">
        <x:v>Thắng</x:v>
      </x:c>
      <x:c r="G99" s="30" t="str">
        <x:v>Hạ chữ thường, bỏ dấu tiếng Việt, gộp khoảng trắng</x:v>
      </x:c>
      <x:c r="H99" s="30" t="str">
        <x:v>`H09-01`</x:v>
      </x:c>
      <x:c r="I99" s="30" t="str">
        <x:v>Hùng</x:v>
      </x:c>
      <x:c r="J99" s="30" t="str">
        <x:v>☐</x:v>
      </x:c>
      <x:c r="K99" s="30" t="str">
        <x:v>Chưa bắt đầu</x:v>
      </x:c>
      <x:c r="L99" s="40" t="n">
        <x:f>IF(J99="☑",1,IF(K99="Done",1,IF(K99="Đang làm",0.5,IF(K99="Blocked",0.25,0))))</x:f>
        <x:v>0</x:v>
      </x:c>
      <x:c r="M99" s="30" t="str"/>
      <x:c r="N99" s="30" t="str"/>
    </x:row>
    <x:row r="100">
      <x:c r="A100" s="30" t="str">
        <x:v>M03</x:v>
      </x:c>
      <x:c r="B100" s="30" t="str">
        <x:v>M03-F002</x:v>
      </x:c>
      <x:c r="C100" s="30" t="str">
        <x:v>P0</x:v>
      </x:c>
      <x:c r="D100" s="30" t="str">
        <x:v>KEEP</x:v>
      </x:c>
      <x:c r="E100" s="30" t="str">
        <x:v>T-WP01</x:v>
      </x:c>
      <x:c r="F100" s="30" t="str">
        <x:v>Thắng</x:v>
      </x:c>
      <x:c r="G100" s="30" t="str">
        <x:v>Gỡ leetspeak theo token có chứa chữ cái (`vi3tc0mb4nk` → `vietcombank`)</x:v>
      </x:c>
      <x:c r="H100" s="30" t="str">
        <x:v>`H09-02`</x:v>
      </x:c>
      <x:c r="I100" s="30" t="str">
        <x:v>Hùng</x:v>
      </x:c>
      <x:c r="J100" s="30" t="str">
        <x:v>☐</x:v>
      </x:c>
      <x:c r="K100" s="30" t="str">
        <x:v>Chưa bắt đầu</x:v>
      </x:c>
      <x:c r="L100" s="40" t="n">
        <x:f>IF(J100="☑",1,IF(K100="Done",1,IF(K100="Đang làm",0.5,IF(K100="Blocked",0.25,0))))</x:f>
        <x:v>0</x:v>
      </x:c>
      <x:c r="M100" s="30" t="str"/>
      <x:c r="N100" s="30" t="str"/>
    </x:row>
    <x:row r="101">
      <x:c r="A101" s="30" t="str">
        <x:v>M03</x:v>
      </x:c>
      <x:c r="B101" s="30" t="str">
        <x:v>M03-F003</x:v>
      </x:c>
      <x:c r="C101" s="30" t="str">
        <x:v>P0</x:v>
      </x:c>
      <x:c r="D101" s="30" t="str">
        <x:v>KEEP</x:v>
      </x:c>
      <x:c r="E101" s="30" t="str">
        <x:v>T-WP01</x:v>
      </x:c>
      <x:c r="F101" s="30" t="str">
        <x:v>Thắng</x:v>
      </x:c>
      <x:c r="G101" s="30" t="str">
        <x:v>So sánh hai mức chuẩn hoá để phát hiện cố tình né bộ lọc (fact `LEET_BRAND`)</x:v>
      </x:c>
      <x:c r="H101" s="30" t="str">
        <x:v>`H09-03`</x:v>
      </x:c>
      <x:c r="I101" s="30" t="str">
        <x:v>Hùng</x:v>
      </x:c>
      <x:c r="J101" s="30" t="str">
        <x:v>☐</x:v>
      </x:c>
      <x:c r="K101" s="30" t="str">
        <x:v>Chưa bắt đầu</x:v>
      </x:c>
      <x:c r="L101" s="40" t="n">
        <x:f>IF(J101="☑",1,IF(K101="Done",1,IF(K101="Đang làm",0.5,IF(K101="Blocked",0.25,0))))</x:f>
        <x:v>0</x:v>
      </x:c>
      <x:c r="M101" s="30" t="str"/>
      <x:c r="N101" s="30" t="str"/>
    </x:row>
    <x:row r="102">
      <x:c r="A102" s="30" t="str">
        <x:v>M03</x:v>
      </x:c>
      <x:c r="B102" s="30" t="str">
        <x:v>M03-F004</x:v>
      </x:c>
      <x:c r="C102" s="30" t="str">
        <x:v>P1</x:v>
      </x:c>
      <x:c r="D102" s="30" t="str">
        <x:v>KEEP</x:v>
      </x:c>
      <x:c r="E102" s="30" t="str">
        <x:v>T-WP01</x:v>
      </x:c>
      <x:c r="F102" s="30" t="str">
        <x:v>Thắng</x:v>
      </x:c>
      <x:c r="G102" s="30" t="str">
        <x:v>Chuẩn hoá dấu câu, emoji, ký tự Unicode đồng hình (homoglyph)</x:v>
      </x:c>
      <x:c r="H102" s="30" t="str">
        <x:v>`H09-04`</x:v>
      </x:c>
      <x:c r="I102" s="30" t="str">
        <x:v>Hùng</x:v>
      </x:c>
      <x:c r="J102" s="30" t="str">
        <x:v>☐</x:v>
      </x:c>
      <x:c r="K102" s="30" t="str">
        <x:v>Chưa bắt đầu</x:v>
      </x:c>
      <x:c r="L102" s="40" t="n">
        <x:f>IF(J102="☑",1,IF(K102="Done",1,IF(K102="Đang làm",0.5,IF(K102="Blocked",0.25,0))))</x:f>
        <x:v>0</x:v>
      </x:c>
      <x:c r="M102" s="30" t="str"/>
      <x:c r="N102" s="30" t="str"/>
    </x:row>
    <x:row r="103">
      <x:c r="A103" s="30" t="str">
        <x:v>M03</x:v>
      </x:c>
      <x:c r="B103" s="30" t="str">
        <x:v>M03-F005</x:v>
      </x:c>
      <x:c r="C103" s="30" t="str">
        <x:v>P1</x:v>
      </x:c>
      <x:c r="D103" s="30" t="str">
        <x:v>KEEP</x:v>
      </x:c>
      <x:c r="E103" s="30" t="str">
        <x:v>T-WP01</x:v>
      </x:c>
      <x:c r="F103" s="30" t="str">
        <x:v>Thắng</x:v>
      </x:c>
      <x:c r="G103" s="30" t="str">
        <x:v>Phát hiện chèn ký tự vô hình (zero-width space) để né bộ lọc</x:v>
      </x:c>
      <x:c r="H103" s="30" t="str">
        <x:v>`H09-05`</x:v>
      </x:c>
      <x:c r="I103" s="30" t="str">
        <x:v>Hùng</x:v>
      </x:c>
      <x:c r="J103" s="30" t="str">
        <x:v>☐</x:v>
      </x:c>
      <x:c r="K103" s="30" t="str">
        <x:v>Chưa bắt đầu</x:v>
      </x:c>
      <x:c r="L103" s="40" t="n">
        <x:f>IF(J103="☑",1,IF(K103="Done",1,IF(K103="Đang làm",0.5,IF(K103="Blocked",0.25,0))))</x:f>
        <x:v>0</x:v>
      </x:c>
      <x:c r="M103" s="30" t="str"/>
      <x:c r="N103" s="30" t="str"/>
    </x:row>
    <x:row r="104">
      <x:c r="A104" s="30" t="str">
        <x:v>M03</x:v>
      </x:c>
      <x:c r="B104" s="30" t="str">
        <x:v>M03-F006</x:v>
      </x:c>
      <x:c r="C104" s="30" t="str">
        <x:v>P2</x:v>
      </x:c>
      <x:c r="D104" s="30" t="str">
        <x:v>KEEP</x:v>
      </x:c>
      <x:c r="E104" s="30" t="str">
        <x:v>T-WP01</x:v>
      </x:c>
      <x:c r="F104" s="30" t="str">
        <x:v>Thắng</x:v>
      </x:c>
      <x:c r="G104" s="30" t="str">
        <x:v>Chuẩn hoá teencode và viết tắt tiếng Việt phổ biến</x:v>
      </x:c>
      <x:c r="H104" s="30" t="str">
        <x:v>`H09-06`</x:v>
      </x:c>
      <x:c r="I104" s="30" t="str">
        <x:v>Hùng</x:v>
      </x:c>
      <x:c r="J104" s="30" t="str">
        <x:v>☐</x:v>
      </x:c>
      <x:c r="K104" s="30" t="str">
        <x:v>Chưa bắt đầu</x:v>
      </x:c>
      <x:c r="L104" s="40" t="n">
        <x:f>IF(J104="☑",1,IF(K104="Done",1,IF(K104="Đang làm",0.5,IF(K104="Blocked",0.25,0))))</x:f>
        <x:v>0</x:v>
      </x:c>
      <x:c r="M104" s="30" t="str"/>
      <x:c r="N104" s="30" t="str"/>
    </x:row>
    <x:row r="105">
      <x:c r="A105" s="30" t="str">
        <x:v>M03</x:v>
      </x:c>
      <x:c r="B105" s="30" t="str">
        <x:v>M03-F007</x:v>
      </x:c>
      <x:c r="C105" s="30" t="str">
        <x:v>P2</x:v>
      </x:c>
      <x:c r="D105" s="30" t="str">
        <x:v>KEEP</x:v>
      </x:c>
      <x:c r="E105" s="30" t="str">
        <x:v>T-WP01</x:v>
      </x:c>
      <x:c r="F105" s="30" t="str">
        <x:v>Thắng</x:v>
      </x:c>
      <x:c r="G105" s="30" t="str">
        <x:v>Nhận diện ngôn ngữ đầu vào, cảnh báo khi không phải tiếng Việt</x:v>
      </x:c>
      <x:c r="H105" s="30" t="str">
        <x:v>`H09-07`</x:v>
      </x:c>
      <x:c r="I105" s="30" t="str">
        <x:v>Hùng</x:v>
      </x:c>
      <x:c r="J105" s="30" t="str">
        <x:v>☐</x:v>
      </x:c>
      <x:c r="K105" s="30" t="str">
        <x:v>Chưa bắt đầu</x:v>
      </x:c>
      <x:c r="L105" s="40" t="n">
        <x:f>IF(J105="☑",1,IF(K105="Done",1,IF(K105="Đang làm",0.5,IF(K105="Blocked",0.25,0))))</x:f>
        <x:v>0</x:v>
      </x:c>
      <x:c r="M105" s="30" t="str"/>
      <x:c r="N105" s="30" t="str"/>
    </x:row>
    <x:row r="106">
      <x:c r="A106" s="30" t="str">
        <x:v>M03</x:v>
      </x:c>
      <x:c r="B106" s="30" t="str">
        <x:v>M03-F008</x:v>
      </x:c>
      <x:c r="C106" s="30" t="str">
        <x:v>P0</x:v>
      </x:c>
      <x:c r="D106" s="30" t="str">
        <x:v>MODIFY</x:v>
      </x:c>
      <x:c r="E106" s="30" t="str">
        <x:v>T-WP02</x:v>
      </x:c>
      <x:c r="F106" s="30" t="str">
        <x:v>Thắng</x:v>
      </x:c>
      <x:c r="G106" s="30" t="str">
        <x:v>`POST /v1/scans/text` xử lý bất đồng bộ qua `q.scan.text`, tối đa 20.000 ký tự ban đầu, trả `202 + scanId` khi tạo job thành công.</x:v>
      </x:c>
      <x:c r="H106" s="30" t="str">
        <x:v>`R01-01`</x:v>
      </x:c>
      <x:c r="I106" s="30" t="str">
        <x:v>Kiên</x:v>
      </x:c>
      <x:c r="J106" s="30" t="str">
        <x:v>☐</x:v>
      </x:c>
      <x:c r="K106" s="30" t="str">
        <x:v>Chưa bắt đầu</x:v>
      </x:c>
      <x:c r="L106" s="40" t="n">
        <x:f>IF(J106="☑",1,IF(K106="Done",1,IF(K106="Đang làm",0.5,IF(K106="Blocked",0.25,0))))</x:f>
        <x:v>0</x:v>
      </x:c>
      <x:c r="M106" s="30" t="str"/>
      <x:c r="N106" s="30" t="str"/>
    </x:row>
    <x:row r="107">
      <x:c r="A107" s="30" t="str">
        <x:v>M03</x:v>
      </x:c>
      <x:c r="B107" s="30" t="str">
        <x:v>M03-F009</x:v>
      </x:c>
      <x:c r="C107" s="30" t="str">
        <x:v>P0</x:v>
      </x:c>
      <x:c r="D107" s="30" t="str">
        <x:v>KEEP</x:v>
      </x:c>
      <x:c r="E107" s="30" t="str">
        <x:v>T-WP02</x:v>
      </x:c>
      <x:c r="F107" s="30" t="str">
        <x:v>Thắng</x:v>
      </x:c>
      <x:c r="G107" s="30" t="str">
        <x:v>Khớp từ khoá theo 6 nhóm: khẩn cấp, giả danh, thông tin nhạy cảm, chuyển tiền, quá tốt để tin, mời việc làm</x:v>
      </x:c>
      <x:c r="H107" s="30" t="str">
        <x:v>`R01-02`</x:v>
      </x:c>
      <x:c r="I107" s="30" t="str">
        <x:v>Kiên</x:v>
      </x:c>
      <x:c r="J107" s="30" t="str">
        <x:v>☐</x:v>
      </x:c>
      <x:c r="K107" s="30" t="str">
        <x:v>Chưa bắt đầu</x:v>
      </x:c>
      <x:c r="L107" s="40" t="n">
        <x:f>IF(J107="☑",1,IF(K107="Done",1,IF(K107="Đang làm",0.5,IF(K107="Blocked",0.25,0))))</x:f>
        <x:v>0</x:v>
      </x:c>
      <x:c r="M107" s="30" t="str"/>
      <x:c r="N107" s="30" t="str"/>
    </x:row>
    <x:row r="108">
      <x:c r="A108" s="30" t="str">
        <x:v>M03</x:v>
      </x:c>
      <x:c r="B108" s="30" t="str">
        <x:v>M03-F010</x:v>
      </x:c>
      <x:c r="C108" s="30" t="str">
        <x:v>P0</x:v>
      </x:c>
      <x:c r="D108" s="30" t="str">
        <x:v>KEEP</x:v>
      </x:c>
      <x:c r="E108" s="30" t="str">
        <x:v>T-WP02</x:v>
      </x:c>
      <x:c r="F108" s="30" t="str">
        <x:v>Thắng</x:v>
      </x:c>
      <x:c r="G108" s="30" t="str">
        <x:v>Nhận diện mẫu tổ hợp: giả mạo ngân hàng, giả danh cơ quan, trúng thưởng, tuyển CTV, shipper giả</x:v>
      </x:c>
      <x:c r="H108" s="30" t="str">
        <x:v>`R01-03`</x:v>
      </x:c>
      <x:c r="I108" s="30" t="str">
        <x:v>Kiên</x:v>
      </x:c>
      <x:c r="J108" s="30" t="str">
        <x:v>☐</x:v>
      </x:c>
      <x:c r="K108" s="30" t="str">
        <x:v>Chưa bắt đầu</x:v>
      </x:c>
      <x:c r="L108" s="40" t="n">
        <x:f>IF(J108="☑",1,IF(K108="Done",1,IF(K108="Đang làm",0.5,IF(K108="Blocked",0.25,0))))</x:f>
        <x:v>0</x:v>
      </x:c>
      <x:c r="M108" s="30" t="str"/>
      <x:c r="N108" s="30" t="str"/>
    </x:row>
    <x:row r="109">
      <x:c r="A109" s="30" t="str">
        <x:v>M03</x:v>
      </x:c>
      <x:c r="B109" s="30" t="str">
        <x:v>M03-F011</x:v>
      </x:c>
      <x:c r="C109" s="30" t="str">
        <x:v>P0</x:v>
      </x:c>
      <x:c r="D109" s="30" t="str">
        <x:v>KEEP</x:v>
      </x:c>
      <x:c r="E109" s="30" t="str">
        <x:v>T-WP02</x:v>
      </x:c>
      <x:c r="F109" s="30" t="str">
        <x:v>Thắng</x:v>
      </x:c>
      <x:c r="G109" s="30" t="str">
        <x:v>Trang quét nội dung trên web, hiển thị điểm và bằng chứng</x:v>
      </x:c>
      <x:c r="H109" s="30" t="str">
        <x:v>`R01-04`</x:v>
      </x:c>
      <x:c r="I109" s="30" t="str">
        <x:v>Kiên</x:v>
      </x:c>
      <x:c r="J109" s="30" t="str">
        <x:v>☐</x:v>
      </x:c>
      <x:c r="K109" s="30" t="str">
        <x:v>Chưa bắt đầu</x:v>
      </x:c>
      <x:c r="L109" s="40" t="n">
        <x:f>IF(J109="☑",1,IF(K109="Done",1,IF(K109="Đang làm",0.5,IF(K109="Blocked",0.25,0))))</x:f>
        <x:v>0</x:v>
      </x:c>
      <x:c r="M109" s="30" t="str"/>
      <x:c r="N109" s="30" t="str"/>
    </x:row>
    <x:row r="110">
      <x:c r="A110" s="30" t="str">
        <x:v>M03</x:v>
      </x:c>
      <x:c r="B110" s="30" t="str">
        <x:v>M03-F012</x:v>
      </x:c>
      <x:c r="C110" s="30" t="str">
        <x:v>P1</x:v>
      </x:c>
      <x:c r="D110" s="30" t="str">
        <x:v>KEEP</x:v>
      </x:c>
      <x:c r="E110" s="30" t="str">
        <x:v>T-WP02</x:v>
      </x:c>
      <x:c r="F110" s="30" t="str">
        <x:v>Thắng</x:v>
      </x:c>
      <x:c r="G110" s="30" t="str">
        <x:v>Hỗ trợ chọn nguồn tin (SMS / Zalo / Messenger / Email / Facebook) và điều chỉnh trọng số theo nguồn</x:v>
      </x:c>
      <x:c r="H110" s="30" t="str">
        <x:v>`R01-05`</x:v>
      </x:c>
      <x:c r="I110" s="30" t="str">
        <x:v>Kiên</x:v>
      </x:c>
      <x:c r="J110" s="30" t="str">
        <x:v>☐</x:v>
      </x:c>
      <x:c r="K110" s="30" t="str">
        <x:v>Chưa bắt đầu</x:v>
      </x:c>
      <x:c r="L110" s="40" t="n">
        <x:f>IF(J110="☑",1,IF(K110="Done",1,IF(K110="Đang làm",0.5,IF(K110="Blocked",0.25,0))))</x:f>
        <x:v>0</x:v>
      </x:c>
      <x:c r="M110" s="30" t="str"/>
      <x:c r="N110" s="30" t="str"/>
    </x:row>
    <x:row r="111">
      <x:c r="A111" s="30" t="str">
        <x:v>M03</x:v>
      </x:c>
      <x:c r="B111" s="30" t="str">
        <x:v>M03-F013</x:v>
      </x:c>
      <x:c r="C111" s="30" t="str">
        <x:v>P1</x:v>
      </x:c>
      <x:c r="D111" s="30" t="str">
        <x:v>KEEP</x:v>
      </x:c>
      <x:c r="E111" s="30" t="str">
        <x:v>T-WP02</x:v>
      </x:c>
      <x:c r="F111" s="30" t="str">
        <x:v>Thắng</x:v>
      </x:c>
      <x:c r="G111" s="30" t="str">
        <x:v>Đánh dấu trực quan đoạn văn bản đã kích hoạt rule</x:v>
      </x:c>
      <x:c r="H111" s="30" t="str">
        <x:v>`R01-06`</x:v>
      </x:c>
      <x:c r="I111" s="30" t="str">
        <x:v>Kiên</x:v>
      </x:c>
      <x:c r="J111" s="30" t="str">
        <x:v>☐</x:v>
      </x:c>
      <x:c r="K111" s="30" t="str">
        <x:v>Chưa bắt đầu</x:v>
      </x:c>
      <x:c r="L111" s="40" t="n">
        <x:f>IF(J111="☑",1,IF(K111="Done",1,IF(K111="Đang làm",0.5,IF(K111="Blocked",0.25,0))))</x:f>
        <x:v>0</x:v>
      </x:c>
      <x:c r="M111" s="30" t="str"/>
      <x:c r="N111" s="30" t="str"/>
    </x:row>
    <x:row r="112">
      <x:c r="A112" s="30" t="str">
        <x:v>M03</x:v>
      </x:c>
      <x:c r="B112" s="30" t="str">
        <x:v>M03-F014</x:v>
      </x:c>
      <x:c r="C112" s="30" t="str">
        <x:v>P2</x:v>
      </x:c>
      <x:c r="D112" s="30" t="str">
        <x:v>KEEP</x:v>
      </x:c>
      <x:c r="E112" s="30" t="str">
        <x:v>T-WP02</x:v>
      </x:c>
      <x:c r="F112" s="30" t="str">
        <x:v>Thắng</x:v>
      </x:c>
      <x:c r="G112" s="30" t="str">
        <x:v>Phân tích ảnh chụp màn hình tin nhắn bằng OCR</x:v>
      </x:c>
      <x:c r="H112" s="30" t="str">
        <x:v>`R01-07`</x:v>
      </x:c>
      <x:c r="I112" s="30" t="str">
        <x:v>Kiên</x:v>
      </x:c>
      <x:c r="J112" s="30" t="str">
        <x:v>☐</x:v>
      </x:c>
      <x:c r="K112" s="30" t="str">
        <x:v>Chưa bắt đầu</x:v>
      </x:c>
      <x:c r="L112" s="40" t="n">
        <x:f>IF(J112="☑",1,IF(K112="Done",1,IF(K112="Đang làm",0.5,IF(K112="Blocked",0.25,0))))</x:f>
        <x:v>0</x:v>
      </x:c>
      <x:c r="M112" s="30" t="str"/>
      <x:c r="N112" s="30" t="str"/>
    </x:row>
    <x:row r="113">
      <x:c r="A113" s="30" t="str">
        <x:v>M03</x:v>
      </x:c>
      <x:c r="B113" s="30" t="str">
        <x:v>M03-F015</x:v>
      </x:c>
      <x:c r="C113" s="30" t="str">
        <x:v>P2</x:v>
      </x:c>
      <x:c r="D113" s="30" t="str">
        <x:v>KEEP</x:v>
      </x:c>
      <x:c r="E113" s="30" t="str">
        <x:v>T-WP02</x:v>
      </x:c>
      <x:c r="F113" s="30" t="str">
        <x:v>Thắng</x:v>
      </x:c>
      <x:c r="G113" s="30" t="str">
        <x:v>Phân tích tệp email `.eml` gồm cả header</x:v>
      </x:c>
      <x:c r="H113" s="30" t="str">
        <x:v>`R01-08`</x:v>
      </x:c>
      <x:c r="I113" s="30" t="str">
        <x:v>Kiên</x:v>
      </x:c>
      <x:c r="J113" s="30" t="str">
        <x:v>☐</x:v>
      </x:c>
      <x:c r="K113" s="30" t="str">
        <x:v>Chưa bắt đầu</x:v>
      </x:c>
      <x:c r="L113" s="40" t="n">
        <x:f>IF(J113="☑",1,IF(K113="Done",1,IF(K113="Đang làm",0.5,IF(K113="Blocked",0.25,0))))</x:f>
        <x:v>0</x:v>
      </x:c>
      <x:c r="M113" s="30" t="str"/>
      <x:c r="N113" s="30" t="str"/>
    </x:row>
    <x:row r="114">
      <x:c r="A114" s="30" t="str">
        <x:v>M03</x:v>
      </x:c>
      <x:c r="B114" s="30" t="str">
        <x:v>M03-F016</x:v>
      </x:c>
      <x:c r="C114" s="30" t="str">
        <x:v>P0</x:v>
      </x:c>
      <x:c r="D114" s="30" t="str">
        <x:v>KEEP</x:v>
      </x:c>
      <x:c r="E114" s="30" t="str">
        <x:v>T-WP03</x:v>
      </x:c>
      <x:c r="F114" s="30" t="str">
        <x:v>Thắng</x:v>
      </x:c>
      <x:c r="G114" s="30" t="str">
        <x:v>Trích xuất URL (kể cả không có scheme) và địa chỉ IP</x:v>
      </x:c>
      <x:c r="H114" s="30" t="str">
        <x:v>`R02-01`</x:v>
      </x:c>
      <x:c r="I114" s="30" t="str">
        <x:v>Kiên</x:v>
      </x:c>
      <x:c r="J114" s="30" t="str">
        <x:v>☐</x:v>
      </x:c>
      <x:c r="K114" s="30" t="str">
        <x:v>Chưa bắt đầu</x:v>
      </x:c>
      <x:c r="L114" s="40" t="n">
        <x:f>IF(J114="☑",1,IF(K114="Done",1,IF(K114="Đang làm",0.5,IF(K114="Blocked",0.25,0))))</x:f>
        <x:v>0</x:v>
      </x:c>
      <x:c r="M114" s="30" t="str"/>
      <x:c r="N114" s="30" t="str"/>
    </x:row>
    <x:row r="115">
      <x:c r="A115" s="30" t="str">
        <x:v>M03</x:v>
      </x:c>
      <x:c r="B115" s="30" t="str">
        <x:v>M03-F017</x:v>
      </x:c>
      <x:c r="C115" s="30" t="str">
        <x:v>P0</x:v>
      </x:c>
      <x:c r="D115" s="30" t="str">
        <x:v>KEEP</x:v>
      </x:c>
      <x:c r="E115" s="30" t="str">
        <x:v>T-WP03</x:v>
      </x:c>
      <x:c r="F115" s="30" t="str">
        <x:v>Thắng</x:v>
      </x:c>
      <x:c r="G115" s="30" t="str">
        <x:v>Trích xuất số điện thoại Việt Nam, chuẩn hoá về `+84...`</x:v>
      </x:c>
      <x:c r="H115" s="30" t="str">
        <x:v>`R02-02`</x:v>
      </x:c>
      <x:c r="I115" s="30" t="str">
        <x:v>Kiên</x:v>
      </x:c>
      <x:c r="J115" s="30" t="str">
        <x:v>☐</x:v>
      </x:c>
      <x:c r="K115" s="30" t="str">
        <x:v>Chưa bắt đầu</x:v>
      </x:c>
      <x:c r="L115" s="40" t="n">
        <x:f>IF(J115="☑",1,IF(K115="Done",1,IF(K115="Đang làm",0.5,IF(K115="Blocked",0.25,0))))</x:f>
        <x:v>0</x:v>
      </x:c>
      <x:c r="M115" s="30" t="str"/>
      <x:c r="N115" s="30" t="str"/>
    </x:row>
    <x:row r="116">
      <x:c r="A116" s="30" t="str">
        <x:v>M03</x:v>
      </x:c>
      <x:c r="B116" s="30" t="str">
        <x:v>M03-F018</x:v>
      </x:c>
      <x:c r="C116" s="30" t="str">
        <x:v>P0</x:v>
      </x:c>
      <x:c r="D116" s="30" t="str">
        <x:v>KEEP</x:v>
      </x:c>
      <x:c r="E116" s="30" t="str">
        <x:v>T-WP03</x:v>
      </x:c>
      <x:c r="F116" s="30" t="str">
        <x:v>Thắng</x:v>
      </x:c>
      <x:c r="G116" s="30" t="str">
        <x:v>Trích xuất số tài khoản ngân hàng, không nhầm với số điện thoại</x:v>
      </x:c>
      <x:c r="H116" s="30" t="str">
        <x:v>`R02-03`</x:v>
      </x:c>
      <x:c r="I116" s="30" t="str">
        <x:v>Kiên</x:v>
      </x:c>
      <x:c r="J116" s="30" t="str">
        <x:v>☐</x:v>
      </x:c>
      <x:c r="K116" s="30" t="str">
        <x:v>Chưa bắt đầu</x:v>
      </x:c>
      <x:c r="L116" s="40" t="n">
        <x:f>IF(J116="☑",1,IF(K116="Done",1,IF(K116="Đang làm",0.5,IF(K116="Blocked",0.25,0))))</x:f>
        <x:v>0</x:v>
      </x:c>
      <x:c r="M116" s="30" t="str"/>
      <x:c r="N116" s="30" t="str"/>
    </x:row>
    <x:row r="117">
      <x:c r="A117" s="30" t="str">
        <x:v>M03</x:v>
      </x:c>
      <x:c r="B117" s="30" t="str">
        <x:v>M03-F019</x:v>
      </x:c>
      <x:c r="C117" s="30" t="str">
        <x:v>P0</x:v>
      </x:c>
      <x:c r="D117" s="30" t="str">
        <x:v>KEEP</x:v>
      </x:c>
      <x:c r="E117" s="30" t="str">
        <x:v>T-WP03</x:v>
      </x:c>
      <x:c r="F117" s="30" t="str">
        <x:v>Thắng</x:v>
      </x:c>
      <x:c r="G117" s="30" t="str">
        <x:v>Trích xuất số tiền (`500k`, `100 triệu`, `1.000.000đ`)</x:v>
      </x:c>
      <x:c r="H117" s="30" t="str">
        <x:v>`R02-04`</x:v>
      </x:c>
      <x:c r="I117" s="30" t="str">
        <x:v>Kiên</x:v>
      </x:c>
      <x:c r="J117" s="30" t="str">
        <x:v>☐</x:v>
      </x:c>
      <x:c r="K117" s="30" t="str">
        <x:v>Chưa bắt đầu</x:v>
      </x:c>
      <x:c r="L117" s="40" t="n">
        <x:f>IF(J117="☑",1,IF(K117="Done",1,IF(K117="Đang làm",0.5,IF(K117="Blocked",0.25,0))))</x:f>
        <x:v>0</x:v>
      </x:c>
      <x:c r="M117" s="30" t="str"/>
      <x:c r="N117" s="30" t="str"/>
    </x:row>
    <x:row r="118">
      <x:c r="A118" s="30" t="str">
        <x:v>M03</x:v>
      </x:c>
      <x:c r="B118" s="30" t="str">
        <x:v>M03-F020</x:v>
      </x:c>
      <x:c r="C118" s="30" t="str">
        <x:v>P0</x:v>
      </x:c>
      <x:c r="D118" s="30" t="str">
        <x:v>KEEP</x:v>
      </x:c>
      <x:c r="E118" s="30" t="str">
        <x:v>T-WP03</x:v>
      </x:c>
      <x:c r="F118" s="30" t="str">
        <x:v>Thắng</x:v>
      </x:c>
      <x:c r="G118" s="30" t="str">
        <x:v>Trích xuất mã OTP theo ngữ cảnh từ khoá</x:v>
      </x:c>
      <x:c r="H118" s="30" t="str">
        <x:v>`R02-05`</x:v>
      </x:c>
      <x:c r="I118" s="30" t="str">
        <x:v>Kiên</x:v>
      </x:c>
      <x:c r="J118" s="30" t="str">
        <x:v>☐</x:v>
      </x:c>
      <x:c r="K118" s="30" t="str">
        <x:v>Chưa bắt đầu</x:v>
      </x:c>
      <x:c r="L118" s="40" t="n">
        <x:f>IF(J118="☑",1,IF(K118="Done",1,IF(K118="Đang làm",0.5,IF(K118="Blocked",0.25,0))))</x:f>
        <x:v>0</x:v>
      </x:c>
      <x:c r="M118" s="30" t="str"/>
      <x:c r="N118" s="30" t="str"/>
    </x:row>
    <x:row r="119">
      <x:c r="A119" s="30" t="str">
        <x:v>M03</x:v>
      </x:c>
      <x:c r="B119" s="30" t="str">
        <x:v>M03-F021</x:v>
      </x:c>
      <x:c r="C119" s="30" t="str">
        <x:v>P1</x:v>
      </x:c>
      <x:c r="D119" s="30" t="str">
        <x:v>KEEP</x:v>
      </x:c>
      <x:c r="E119" s="30" t="str">
        <x:v>T-WP03</x:v>
      </x:c>
      <x:c r="F119" s="30" t="str">
        <x:v>Thắng</x:v>
      </x:c>
      <x:c r="G119" s="30" t="str">
        <x:v>Trích xuất tên ngân hàng và mã ngân hàng</x:v>
      </x:c>
      <x:c r="H119" s="30" t="str">
        <x:v>`R02-06`</x:v>
      </x:c>
      <x:c r="I119" s="30" t="str">
        <x:v>Kiên</x:v>
      </x:c>
      <x:c r="J119" s="30" t="str">
        <x:v>☐</x:v>
      </x:c>
      <x:c r="K119" s="30" t="str">
        <x:v>Chưa bắt đầu</x:v>
      </x:c>
      <x:c r="L119" s="40" t="n">
        <x:f>IF(J119="☑",1,IF(K119="Done",1,IF(K119="Đang làm",0.5,IF(K119="Blocked",0.25,0))))</x:f>
        <x:v>0</x:v>
      </x:c>
      <x:c r="M119" s="30" t="str"/>
      <x:c r="N119" s="30" t="str"/>
    </x:row>
    <x:row r="120">
      <x:c r="A120" s="30" t="str">
        <x:v>M03</x:v>
      </x:c>
      <x:c r="B120" s="30" t="str">
        <x:v>M03-F022</x:v>
      </x:c>
      <x:c r="C120" s="30" t="str">
        <x:v>P1</x:v>
      </x:c>
      <x:c r="D120" s="30" t="str">
        <x:v>KEEP</x:v>
      </x:c>
      <x:c r="E120" s="30" t="str">
        <x:v>T-WP03</x:v>
      </x:c>
      <x:c r="F120" s="30" t="str">
        <x:v>Thắng</x:v>
      </x:c>
      <x:c r="G120" s="30" t="str">
        <x:v>Trích xuất mốc thời gian và hạn chót ("trong vòng 24h")</x:v>
      </x:c>
      <x:c r="H120" s="30" t="str">
        <x:v>`R02-07`</x:v>
      </x:c>
      <x:c r="I120" s="30" t="str">
        <x:v>Kiên</x:v>
      </x:c>
      <x:c r="J120" s="30" t="str">
        <x:v>☐</x:v>
      </x:c>
      <x:c r="K120" s="30" t="str">
        <x:v>Chưa bắt đầu</x:v>
      </x:c>
      <x:c r="L120" s="40" t="n">
        <x:f>IF(J120="☑",1,IF(K120="Done",1,IF(K120="Đang làm",0.5,IF(K120="Blocked",0.25,0))))</x:f>
        <x:v>0</x:v>
      </x:c>
      <x:c r="M120" s="30" t="str"/>
      <x:c r="N120" s="30" t="str"/>
    </x:row>
    <x:row r="121">
      <x:c r="A121" s="30" t="str">
        <x:v>M03</x:v>
      </x:c>
      <x:c r="B121" s="30" t="str">
        <x:v>M03-F023</x:v>
      </x:c>
      <x:c r="C121" s="30" t="str">
        <x:v>P2</x:v>
      </x:c>
      <x:c r="D121" s="30" t="str">
        <x:v>KEEP</x:v>
      </x:c>
      <x:c r="E121" s="30" t="str">
        <x:v>T-WP03</x:v>
      </x:c>
      <x:c r="F121" s="30" t="str">
        <x:v>Thắng</x:v>
      </x:c>
      <x:c r="G121" s="30" t="str">
        <x:v>Trích xuất địa chỉ ví tiền mã hoá</x:v>
      </x:c>
      <x:c r="H121" s="30" t="str">
        <x:v>`R02-08`</x:v>
      </x:c>
      <x:c r="I121" s="30" t="str">
        <x:v>Kiên</x:v>
      </x:c>
      <x:c r="J121" s="30" t="str">
        <x:v>☐</x:v>
      </x:c>
      <x:c r="K121" s="30" t="str">
        <x:v>Chưa bắt đầu</x:v>
      </x:c>
      <x:c r="L121" s="40" t="n">
        <x:f>IF(J121="☑",1,IF(K121="Done",1,IF(K121="Đang làm",0.5,IF(K121="Blocked",0.25,0))))</x:f>
        <x:v>0</x:v>
      </x:c>
      <x:c r="M121" s="30" t="str"/>
      <x:c r="N121" s="30" t="str"/>
    </x:row>
    <x:row r="122">
      <x:c r="A122" s="30" t="str">
        <x:v>M03</x:v>
      </x:c>
      <x:c r="B122" s="30" t="str">
        <x:v>M03-F024</x:v>
      </x:c>
      <x:c r="C122" s="30" t="str">
        <x:v>P0</x:v>
      </x:c>
      <x:c r="D122" s="30" t="str">
        <x:v>KEEP</x:v>
      </x:c>
      <x:c r="E122" s="30" t="str">
        <x:v>T-WP04</x:v>
      </x:c>
      <x:c r="F122" s="30" t="str">
        <x:v>Thắng</x:v>
      </x:c>
      <x:c r="G122" s="30" t="str">
        <x:v>Định nghĩa và phân loại các mẫu lừa đảo phổ biến tại Việt Nam</x:v>
      </x:c>
      <x:c r="H122" s="30" t="str">
        <x:v>`R03-01`</x:v>
      </x:c>
      <x:c r="I122" s="30" t="str">
        <x:v>Kiên</x:v>
      </x:c>
      <x:c r="J122" s="30" t="str">
        <x:v>☐</x:v>
      </x:c>
      <x:c r="K122" s="30" t="str">
        <x:v>Chưa bắt đầu</x:v>
      </x:c>
      <x:c r="L122" s="40" t="n">
        <x:f>IF(J122="☑",1,IF(K122="Done",1,IF(K122="Đang làm",0.5,IF(K122="Blocked",0.25,0))))</x:f>
        <x:v>0</x:v>
      </x:c>
      <x:c r="M122" s="30" t="str"/>
      <x:c r="N122" s="30" t="str"/>
    </x:row>
    <x:row r="123">
      <x:c r="A123" s="30" t="str">
        <x:v>M03</x:v>
      </x:c>
      <x:c r="B123" s="30" t="str">
        <x:v>M03-F025</x:v>
      </x:c>
      <x:c r="C123" s="30" t="str">
        <x:v>P1</x:v>
      </x:c>
      <x:c r="D123" s="30" t="str">
        <x:v>KEEP</x:v>
      </x:c>
      <x:c r="E123" s="30" t="str">
        <x:v>T-WP04</x:v>
      </x:c>
      <x:c r="F123" s="30" t="str">
        <x:v>Thắng</x:v>
      </x:c>
      <x:c r="G123" s="30" t="str">
        <x:v>Mỗi mẫu có mã, tên, mô tả, dấu hiệu nhận biết, ví dụ thật</x:v>
      </x:c>
      <x:c r="H123" s="30" t="str">
        <x:v>`R03-02`</x:v>
      </x:c>
      <x:c r="I123" s="30" t="str">
        <x:v>Kiên</x:v>
      </x:c>
      <x:c r="J123" s="30" t="str">
        <x:v>☐</x:v>
      </x:c>
      <x:c r="K123" s="30" t="str">
        <x:v>Chưa bắt đầu</x:v>
      </x:c>
      <x:c r="L123" s="40" t="n">
        <x:f>IF(J123="☑",1,IF(K123="Done",1,IF(K123="Đang làm",0.5,IF(K123="Blocked",0.25,0))))</x:f>
        <x:v>0</x:v>
      </x:c>
      <x:c r="M123" s="30" t="str"/>
      <x:c r="N123" s="30" t="str"/>
    </x:row>
    <x:row r="124">
      <x:c r="A124" s="30" t="str">
        <x:v>M03</x:v>
      </x:c>
      <x:c r="B124" s="30" t="str">
        <x:v>M03-F026</x:v>
      </x:c>
      <x:c r="C124" s="30" t="str">
        <x:v>P1</x:v>
      </x:c>
      <x:c r="D124" s="30" t="str">
        <x:v>KEEP</x:v>
      </x:c>
      <x:c r="E124" s="30" t="str">
        <x:v>T-WP04</x:v>
      </x:c>
      <x:c r="F124" s="30" t="str">
        <x:v>Thắng</x:v>
      </x:c>
      <x:c r="G124" s="30" t="str">
        <x:v>Gán nhãn loại lừa đảo vào kết quả quét</x:v>
      </x:c>
      <x:c r="H124" s="30" t="str">
        <x:v>`R03-03`</x:v>
      </x:c>
      <x:c r="I124" s="30" t="str">
        <x:v>Kiên</x:v>
      </x:c>
      <x:c r="J124" s="30" t="str">
        <x:v>☐</x:v>
      </x:c>
      <x:c r="K124" s="30" t="str">
        <x:v>Chưa bắt đầu</x:v>
      </x:c>
      <x:c r="L124" s="40" t="n">
        <x:f>IF(J124="☑",1,IF(K124="Done",1,IF(K124="Đang làm",0.5,IF(K124="Blocked",0.25,0))))</x:f>
        <x:v>0</x:v>
      </x:c>
      <x:c r="M124" s="30" t="str"/>
      <x:c r="N124" s="30" t="str"/>
    </x:row>
    <x:row r="125">
      <x:c r="A125" s="30" t="str">
        <x:v>M03</x:v>
      </x:c>
      <x:c r="B125" s="30" t="str">
        <x:v>M03-F027</x:v>
      </x:c>
      <x:c r="C125" s="30" t="str">
        <x:v>P1</x:v>
      </x:c>
      <x:c r="D125" s="30" t="str">
        <x:v>KEEP</x:v>
      </x:c>
      <x:c r="E125" s="30" t="str">
        <x:v>T-WP04</x:v>
      </x:c>
      <x:c r="F125" s="30" t="str">
        <x:v>Thắng</x:v>
      </x:c>
      <x:c r="G125" s="30" t="str">
        <x:v>Trang tra cứu các mẫu lừa đảo cho người dùng</x:v>
      </x:c>
      <x:c r="H125" s="30" t="str">
        <x:v>`R03-04`</x:v>
      </x:c>
      <x:c r="I125" s="30" t="str">
        <x:v>Kiên</x:v>
      </x:c>
      <x:c r="J125" s="30" t="str">
        <x:v>☐</x:v>
      </x:c>
      <x:c r="K125" s="30" t="str">
        <x:v>Chưa bắt đầu</x:v>
      </x:c>
      <x:c r="L125" s="40" t="n">
        <x:f>IF(J125="☑",1,IF(K125="Done",1,IF(K125="Đang làm",0.5,IF(K125="Blocked",0.25,0))))</x:f>
        <x:v>0</x:v>
      </x:c>
      <x:c r="M125" s="30" t="str"/>
      <x:c r="N125" s="30" t="str"/>
    </x:row>
    <x:row r="126">
      <x:c r="A126" s="30" t="str">
        <x:v>M03</x:v>
      </x:c>
      <x:c r="B126" s="30" t="str">
        <x:v>M03-F028</x:v>
      </x:c>
      <x:c r="C126" s="30" t="str">
        <x:v>P2</x:v>
      </x:c>
      <x:c r="D126" s="30" t="str">
        <x:v>KEEP</x:v>
      </x:c>
      <x:c r="E126" s="30" t="str">
        <x:v>T-WP04</x:v>
      </x:c>
      <x:c r="F126" s="30" t="str">
        <x:v>Thắng</x:v>
      </x:c>
      <x:c r="G126" s="30" t="str">
        <x:v>Thống kê mẫu nào đang phổ biến theo thời gian</x:v>
      </x:c>
      <x:c r="H126" s="30" t="str">
        <x:v>`R03-05`</x:v>
      </x:c>
      <x:c r="I126" s="30" t="str">
        <x:v>Kiên</x:v>
      </x:c>
      <x:c r="J126" s="30" t="str">
        <x:v>☐</x:v>
      </x:c>
      <x:c r="K126" s="30" t="str">
        <x:v>Chưa bắt đầu</x:v>
      </x:c>
      <x:c r="L126" s="40" t="n">
        <x:f>IF(J126="☑",1,IF(K126="Done",1,IF(K126="Đang làm",0.5,IF(K126="Blocked",0.25,0))))</x:f>
        <x:v>0</x:v>
      </x:c>
      <x:c r="M126" s="30" t="str"/>
      <x:c r="N126" s="30" t="str"/>
    </x:row>
    <x:row r="127">
      <x:c r="A127" s="30" t="str">
        <x:v>M03</x:v>
      </x:c>
      <x:c r="B127" s="30" t="str">
        <x:v>M03-F029</x:v>
      </x:c>
      <x:c r="C127" s="30" t="str">
        <x:v>P2</x:v>
      </x:c>
      <x:c r="D127" s="30" t="str">
        <x:v>KEEP</x:v>
      </x:c>
      <x:c r="E127" s="30" t="str">
        <x:v>T-WP04</x:v>
      </x:c>
      <x:c r="F127" s="30" t="str">
        <x:v>Thắng</x:v>
      </x:c>
      <x:c r="G127" s="30" t="str">
        <x:v>Cho phép admin thêm mẫu mới không cần sửa code</x:v>
      </x:c>
      <x:c r="H127" s="30" t="str">
        <x:v>`R03-06`</x:v>
      </x:c>
      <x:c r="I127" s="30" t="str">
        <x:v>Kiên</x:v>
      </x:c>
      <x:c r="J127" s="30" t="str">
        <x:v>☐</x:v>
      </x:c>
      <x:c r="K127" s="30" t="str">
        <x:v>Chưa bắt đầu</x:v>
      </x:c>
      <x:c r="L127" s="40" t="n">
        <x:f>IF(J127="☑",1,IF(K127="Done",1,IF(K127="Đang làm",0.5,IF(K127="Blocked",0.25,0))))</x:f>
        <x:v>0</x:v>
      </x:c>
      <x:c r="M127" s="30" t="str"/>
      <x:c r="N127" s="30" t="str"/>
    </x:row>
    <x:row r="128">
      <x:c r="A128" s="30" t="str">
        <x:v>M03</x:v>
      </x:c>
      <x:c r="B128" s="30" t="str">
        <x:v>M03-F030</x:v>
      </x:c>
      <x:c r="C128" s="30" t="str">
        <x:v>P2</x:v>
      </x:c>
      <x:c r="D128" s="30" t="str">
        <x:v>KEEP</x:v>
      </x:c>
      <x:c r="E128" s="30" t="str">
        <x:v>T-WP04</x:v>
      </x:c>
      <x:c r="F128" s="30" t="str">
        <x:v>Thắng</x:v>
      </x:c>
      <x:c r="G128" s="30" t="str">
        <x:v>Ánh xạ mẫu sang khung phân loại quốc tế</x:v>
      </x:c>
      <x:c r="H128" s="30" t="str">
        <x:v>`R03-07`</x:v>
      </x:c>
      <x:c r="I128" s="30" t="str">
        <x:v>Kiên</x:v>
      </x:c>
      <x:c r="J128" s="30" t="str">
        <x:v>☐</x:v>
      </x:c>
      <x:c r="K128" s="30" t="str">
        <x:v>Chưa bắt đầu</x:v>
      </x:c>
      <x:c r="L128" s="40" t="n">
        <x:f>IF(J128="☑",1,IF(K128="Done",1,IF(K128="Đang làm",0.5,IF(K128="Blocked",0.25,0))))</x:f>
        <x:v>0</x:v>
      </x:c>
      <x:c r="M128" s="30" t="str"/>
      <x:c r="N128" s="30" t="str"/>
    </x:row>
    <x:row r="129">
      <x:c r="A129" s="30" t="str">
        <x:v>M03</x:v>
      </x:c>
      <x:c r="B129" s="30" t="str">
        <x:v>M03-F031</x:v>
      </x:c>
      <x:c r="C129" s="30" t="str">
        <x:v>P0</x:v>
      </x:c>
      <x:c r="D129" s="30" t="str">
        <x:v>KEEP</x:v>
      </x:c>
      <x:c r="E129" s="30" t="str">
        <x:v>T-WP05</x:v>
      </x:c>
      <x:c r="F129" s="30" t="str">
        <x:v>Thắng</x:v>
      </x:c>
      <x:c r="G129" s="30" t="str">
        <x:v>Nhóm từ khoá lưu trong cấu hình, tự chuẩn hoá khi nạp</x:v>
      </x:c>
      <x:c r="H129" s="30" t="str">
        <x:v>`R07-01`</x:v>
      </x:c>
      <x:c r="I129" s="30" t="str">
        <x:v>Kiên</x:v>
      </x:c>
      <x:c r="J129" s="30" t="str">
        <x:v>☐</x:v>
      </x:c>
      <x:c r="K129" s="30" t="str">
        <x:v>Chưa bắt đầu</x:v>
      </x:c>
      <x:c r="L129" s="40" t="n">
        <x:f>IF(J129="☑",1,IF(K129="Done",1,IF(K129="Đang làm",0.5,IF(K129="Blocked",0.25,0))))</x:f>
        <x:v>0</x:v>
      </x:c>
      <x:c r="M129" s="30" t="str"/>
      <x:c r="N129" s="30" t="str"/>
    </x:row>
    <x:row r="130">
      <x:c r="A130" s="30" t="str">
        <x:v>M03</x:v>
      </x:c>
      <x:c r="B130" s="30" t="str">
        <x:v>M03-F032</x:v>
      </x:c>
      <x:c r="C130" s="30" t="str">
        <x:v>P1</x:v>
      </x:c>
      <x:c r="D130" s="30" t="str">
        <x:v>KEEP</x:v>
      </x:c>
      <x:c r="E130" s="30" t="str">
        <x:v>T-WP05</x:v>
      </x:c>
      <x:c r="F130" s="30" t="str">
        <x:v>Thắng</x:v>
      </x:c>
      <x:c r="G130" s="30" t="str">
        <x:v>Trang admin quản lý nhóm từ khoá và từng từ khoá</x:v>
      </x:c>
      <x:c r="H130" s="30" t="str">
        <x:v>`R07-02`</x:v>
      </x:c>
      <x:c r="I130" s="30" t="str">
        <x:v>Kiên</x:v>
      </x:c>
      <x:c r="J130" s="30" t="str">
        <x:v>☐</x:v>
      </x:c>
      <x:c r="K130" s="30" t="str">
        <x:v>Chưa bắt đầu</x:v>
      </x:c>
      <x:c r="L130" s="40" t="n">
        <x:f>IF(J130="☑",1,IF(K130="Done",1,IF(K130="Đang làm",0.5,IF(K130="Blocked",0.25,0))))</x:f>
        <x:v>0</x:v>
      </x:c>
      <x:c r="M130" s="30" t="str"/>
      <x:c r="N130" s="30" t="str"/>
    </x:row>
    <x:row r="131">
      <x:c r="A131" s="30" t="str">
        <x:v>M03</x:v>
      </x:c>
      <x:c r="B131" s="30" t="str">
        <x:v>M03-F033</x:v>
      </x:c>
      <x:c r="C131" s="30" t="str">
        <x:v>P1</x:v>
      </x:c>
      <x:c r="D131" s="30" t="str">
        <x:v>KEEP</x:v>
      </x:c>
      <x:c r="E131" s="30" t="str">
        <x:v>T-WP05</x:v>
      </x:c>
      <x:c r="F131" s="30" t="str">
        <x:v>Thắng</x:v>
      </x:c>
      <x:c r="G131" s="30" t="str">
        <x:v>Thêm/xoá từ khoá không cần deploy lại</x:v>
      </x:c>
      <x:c r="H131" s="30" t="str">
        <x:v>`R07-03`</x:v>
      </x:c>
      <x:c r="I131" s="30" t="str">
        <x:v>Kiên</x:v>
      </x:c>
      <x:c r="J131" s="30" t="str">
        <x:v>☐</x:v>
      </x:c>
      <x:c r="K131" s="30" t="str">
        <x:v>Chưa bắt đầu</x:v>
      </x:c>
      <x:c r="L131" s="40" t="n">
        <x:f>IF(J131="☑",1,IF(K131="Done",1,IF(K131="Đang làm",0.5,IF(K131="Blocked",0.25,0))))</x:f>
        <x:v>0</x:v>
      </x:c>
      <x:c r="M131" s="30" t="str"/>
      <x:c r="N131" s="30" t="str"/>
    </x:row>
    <x:row r="132">
      <x:c r="A132" s="30" t="str">
        <x:v>M03</x:v>
      </x:c>
      <x:c r="B132" s="30" t="str">
        <x:v>M03-F034</x:v>
      </x:c>
      <x:c r="C132" s="30" t="str">
        <x:v>P1</x:v>
      </x:c>
      <x:c r="D132" s="30" t="str">
        <x:v>KEEP</x:v>
      </x:c>
      <x:c r="E132" s="30" t="str">
        <x:v>T-WP05</x:v>
      </x:c>
      <x:c r="F132" s="30" t="str">
        <x:v>Thắng</x:v>
      </x:c>
      <x:c r="G132" s="30" t="str">
        <x:v>Cảnh báo khi thêm từ khoá quá phổ thông dễ gây báo động giả</x:v>
      </x:c>
      <x:c r="H132" s="30" t="str">
        <x:v>`R07-04`</x:v>
      </x:c>
      <x:c r="I132" s="30" t="str">
        <x:v>Kiên</x:v>
      </x:c>
      <x:c r="J132" s="30" t="str">
        <x:v>☐</x:v>
      </x:c>
      <x:c r="K132" s="30" t="str">
        <x:v>Chưa bắt đầu</x:v>
      </x:c>
      <x:c r="L132" s="40" t="n">
        <x:f>IF(J132="☑",1,IF(K132="Done",1,IF(K132="Đang làm",0.5,IF(K132="Blocked",0.25,0))))</x:f>
        <x:v>0</x:v>
      </x:c>
      <x:c r="M132" s="30" t="str"/>
      <x:c r="N132" s="30" t="str"/>
    </x:row>
    <x:row r="133">
      <x:c r="A133" s="30" t="str">
        <x:v>M03</x:v>
      </x:c>
      <x:c r="B133" s="30" t="str">
        <x:v>M03-F035</x:v>
      </x:c>
      <x:c r="C133" s="30" t="str">
        <x:v>P2</x:v>
      </x:c>
      <x:c r="D133" s="30" t="str">
        <x:v>KEEP</x:v>
      </x:c>
      <x:c r="E133" s="30" t="str">
        <x:v>T-WP05</x:v>
      </x:c>
      <x:c r="F133" s="30" t="str">
        <x:v>Thắng</x:v>
      </x:c>
      <x:c r="G133" s="30" t="str">
        <x:v>Gợi ý từ khoá mới từ các báo cáo cộng đồng đã duyệt</x:v>
      </x:c>
      <x:c r="H133" s="30" t="str">
        <x:v>`R07-05`</x:v>
      </x:c>
      <x:c r="I133" s="30" t="str">
        <x:v>Kiên</x:v>
      </x:c>
      <x:c r="J133" s="30" t="str">
        <x:v>☐</x:v>
      </x:c>
      <x:c r="K133" s="30" t="str">
        <x:v>Chưa bắt đầu</x:v>
      </x:c>
      <x:c r="L133" s="40" t="n">
        <x:f>IF(J133="☑",1,IF(K133="Done",1,IF(K133="Đang làm",0.5,IF(K133="Blocked",0.25,0))))</x:f>
        <x:v>0</x:v>
      </x:c>
      <x:c r="M133" s="30" t="str"/>
      <x:c r="N133" s="30" t="str"/>
    </x:row>
    <x:row r="134">
      <x:c r="A134" s="30" t="str">
        <x:v>M03</x:v>
      </x:c>
      <x:c r="B134" s="30" t="str">
        <x:v>M03-F036</x:v>
      </x:c>
      <x:c r="C134" s="30" t="str">
        <x:v>P2</x:v>
      </x:c>
      <x:c r="D134" s="30" t="str">
        <x:v>KEEP</x:v>
      </x:c>
      <x:c r="E134" s="30" t="str">
        <x:v>T-WP05</x:v>
      </x:c>
      <x:c r="F134" s="30" t="str">
        <x:v>Thắng</x:v>
      </x:c>
      <x:c r="G134" s="30" t="str">
        <x:v>Hỗ trợ biểu thức chính quy cho từ khoá nâng cao</x:v>
      </x:c>
      <x:c r="H134" s="30" t="str">
        <x:v>`R07-06`</x:v>
      </x:c>
      <x:c r="I134" s="30" t="str">
        <x:v>Kiên</x:v>
      </x:c>
      <x:c r="J134" s="30" t="str">
        <x:v>☐</x:v>
      </x:c>
      <x:c r="K134" s="30" t="str">
        <x:v>Chưa bắt đầu</x:v>
      </x:c>
      <x:c r="L134" s="40" t="n">
        <x:f>IF(J134="☑",1,IF(K134="Done",1,IF(K134="Đang làm",0.5,IF(K134="Blocked",0.25,0))))</x:f>
        <x:v>0</x:v>
      </x:c>
      <x:c r="M134" s="30" t="str"/>
      <x:c r="N134" s="30" t="str"/>
    </x:row>
    <x:row r="135">
      <x:c r="A135" s="30" t="str">
        <x:v>M03</x:v>
      </x:c>
      <x:c r="B135" s="30" t="str">
        <x:v>M03-F037</x:v>
      </x:c>
      <x:c r="C135" s="30" t="str">
        <x:v>P2</x:v>
      </x:c>
      <x:c r="D135" s="30" t="str">
        <x:v>KEEP</x:v>
      </x:c>
      <x:c r="E135" s="30" t="str">
        <x:v>T-WP05</x:v>
      </x:c>
      <x:c r="F135" s="30" t="str">
        <x:v>Thắng</x:v>
      </x:c>
      <x:c r="G135" s="30" t="str">
        <x:v>Từ điển đồng nghĩa và biến thể viết tắt</x:v>
      </x:c>
      <x:c r="H135" s="30" t="str">
        <x:v>`R07-07`</x:v>
      </x:c>
      <x:c r="I135" s="30" t="str">
        <x:v>Kiên</x:v>
      </x:c>
      <x:c r="J135" s="30" t="str">
        <x:v>☐</x:v>
      </x:c>
      <x:c r="K135" s="30" t="str">
        <x:v>Chưa bắt đầu</x:v>
      </x:c>
      <x:c r="L135" s="40" t="n">
        <x:f>IF(J135="☑",1,IF(K135="Done",1,IF(K135="Đang làm",0.5,IF(K135="Blocked",0.25,0))))</x:f>
        <x:v>0</x:v>
      </x:c>
      <x:c r="M135" s="30" t="str"/>
      <x:c r="N135" s="30" t="str"/>
    </x:row>
    <x:row r="136">
      <x:c r="A136" s="30" t="str">
        <x:v>M03</x:v>
      </x:c>
      <x:c r="B136" s="30" t="str">
        <x:v>M03-F038</x:v>
      </x:c>
      <x:c r="C136" s="30" t="str">
        <x:v>P1</x:v>
      </x:c>
      <x:c r="D136" s="30" t="str">
        <x:v>KEEP</x:v>
      </x:c>
      <x:c r="E136" s="30" t="str">
        <x:v>T-WP06</x:v>
      </x:c>
      <x:c r="F136" s="30" t="str">
        <x:v>Thắng</x:v>
      </x:c>
      <x:c r="G136" s="30" t="str">
        <x:v>Nhận đầu vào là nhiều tin nhắn có thứ tự, không chỉ một đoạn</x:v>
      </x:c>
      <x:c r="H136" s="30" t="str">
        <x:v>`R08-01`</x:v>
      </x:c>
      <x:c r="I136" s="30" t="str">
        <x:v>Kiên</x:v>
      </x:c>
      <x:c r="J136" s="30" t="str">
        <x:v>☐</x:v>
      </x:c>
      <x:c r="K136" s="30" t="str">
        <x:v>Chưa bắt đầu</x:v>
      </x:c>
      <x:c r="L136" s="40" t="n">
        <x:f>IF(J136="☑",1,IF(K136="Done",1,IF(K136="Đang làm",0.5,IF(K136="Blocked",0.25,0))))</x:f>
        <x:v>0</x:v>
      </x:c>
      <x:c r="M136" s="30" t="str"/>
      <x:c r="N136" s="30" t="str"/>
    </x:row>
    <x:row r="137">
      <x:c r="A137" s="30" t="str">
        <x:v>M03</x:v>
      </x:c>
      <x:c r="B137" s="30" t="str">
        <x:v>M03-F039</x:v>
      </x:c>
      <x:c r="C137" s="30" t="str">
        <x:v>P1</x:v>
      </x:c>
      <x:c r="D137" s="30" t="str">
        <x:v>KEEP</x:v>
      </x:c>
      <x:c r="E137" s="30" t="str">
        <x:v>T-WP06</x:v>
      </x:c>
      <x:c r="F137" s="30" t="str">
        <x:v>Thắng</x:v>
      </x:c>
      <x:c r="G137" s="30" t="str">
        <x:v>Nhận diện kịch bản leo thang: làm quen → tạo lòng tin → yêu cầu tiền</x:v>
      </x:c>
      <x:c r="H137" s="30" t="str">
        <x:v>`R08-02`</x:v>
      </x:c>
      <x:c r="I137" s="30" t="str">
        <x:v>Kiên</x:v>
      </x:c>
      <x:c r="J137" s="30" t="str">
        <x:v>☐</x:v>
      </x:c>
      <x:c r="K137" s="30" t="str">
        <x:v>Chưa bắt đầu</x:v>
      </x:c>
      <x:c r="L137" s="40" t="n">
        <x:f>IF(J137="☑",1,IF(K137="Done",1,IF(K137="Đang làm",0.5,IF(K137="Blocked",0.25,0))))</x:f>
        <x:v>0</x:v>
      </x:c>
      <x:c r="M137" s="30" t="str"/>
      <x:c r="N137" s="30" t="str"/>
    </x:row>
    <x:row r="138">
      <x:c r="A138" s="30" t="str">
        <x:v>M03</x:v>
      </x:c>
      <x:c r="B138" s="30" t="str">
        <x:v>M03-F040</x:v>
      </x:c>
      <x:c r="C138" s="30" t="str">
        <x:v>P1</x:v>
      </x:c>
      <x:c r="D138" s="30" t="str">
        <x:v>KEEP</x:v>
      </x:c>
      <x:c r="E138" s="30" t="str">
        <x:v>T-WP06</x:v>
      </x:c>
      <x:c r="F138" s="30" t="str">
        <x:v>Thắng</x:v>
      </x:c>
      <x:c r="G138" s="30" t="str">
        <x:v>Tính điểm cho cả hội thoại, không chỉ từng tin nhắn rời</x:v>
      </x:c>
      <x:c r="H138" s="30" t="str">
        <x:v>`R08-03`</x:v>
      </x:c>
      <x:c r="I138" s="30" t="str">
        <x:v>Kiên</x:v>
      </x:c>
      <x:c r="J138" s="30" t="str">
        <x:v>☐</x:v>
      </x:c>
      <x:c r="K138" s="30" t="str">
        <x:v>Chưa bắt đầu</x:v>
      </x:c>
      <x:c r="L138" s="40" t="n">
        <x:f>IF(J138="☑",1,IF(K138="Done",1,IF(K138="Đang làm",0.5,IF(K138="Blocked",0.25,0))))</x:f>
        <x:v>0</x:v>
      </x:c>
      <x:c r="M138" s="30" t="str"/>
      <x:c r="N138" s="30" t="str"/>
    </x:row>
    <x:row r="139">
      <x:c r="A139" s="30" t="str">
        <x:v>M03</x:v>
      </x:c>
      <x:c r="B139" s="30" t="str">
        <x:v>M03-F041</x:v>
      </x:c>
      <x:c r="C139" s="30" t="str">
        <x:v>P2</x:v>
      </x:c>
      <x:c r="D139" s="30" t="str">
        <x:v>KEEP</x:v>
      </x:c>
      <x:c r="E139" s="30" t="str">
        <x:v>T-WP06</x:v>
      </x:c>
      <x:c r="F139" s="30" t="str">
        <x:v>Thắng</x:v>
      </x:c>
      <x:c r="G139" s="30" t="str">
        <x:v>Nhận diện mẫu lừa đảo tình cảm và đầu tư dài ngày</x:v>
      </x:c>
      <x:c r="H139" s="30" t="str">
        <x:v>`R08-04`</x:v>
      </x:c>
      <x:c r="I139" s="30" t="str">
        <x:v>Kiên</x:v>
      </x:c>
      <x:c r="J139" s="30" t="str">
        <x:v>☐</x:v>
      </x:c>
      <x:c r="K139" s="30" t="str">
        <x:v>Chưa bắt đầu</x:v>
      </x:c>
      <x:c r="L139" s="40" t="n">
        <x:f>IF(J139="☑",1,IF(K139="Done",1,IF(K139="Đang làm",0.5,IF(K139="Blocked",0.25,0))))</x:f>
        <x:v>0</x:v>
      </x:c>
      <x:c r="M139" s="30" t="str"/>
      <x:c r="N139" s="30" t="str"/>
    </x:row>
    <x:row r="140">
      <x:c r="A140" s="30" t="str">
        <x:v>M03</x:v>
      </x:c>
      <x:c r="B140" s="30" t="str">
        <x:v>M03-F042</x:v>
      </x:c>
      <x:c r="C140" s="30" t="str">
        <x:v>P2</x:v>
      </x:c>
      <x:c r="D140" s="30" t="str">
        <x:v>KEEP</x:v>
      </x:c>
      <x:c r="E140" s="30" t="str">
        <x:v>T-WP06</x:v>
      </x:c>
      <x:c r="F140" s="30" t="str">
        <x:v>Thắng</x:v>
      </x:c>
      <x:c r="G140" s="30" t="str">
        <x:v>Cảnh báo khi hội thoại chuyển hướng sang yêu cầu tài chính</x:v>
      </x:c>
      <x:c r="H140" s="30" t="str">
        <x:v>`R08-05`</x:v>
      </x:c>
      <x:c r="I140" s="30" t="str">
        <x:v>Kiên</x:v>
      </x:c>
      <x:c r="J140" s="30" t="str">
        <x:v>☐</x:v>
      </x:c>
      <x:c r="K140" s="30" t="str">
        <x:v>Chưa bắt đầu</x:v>
      </x:c>
      <x:c r="L140" s="40" t="n">
        <x:f>IF(J140="☑",1,IF(K140="Done",1,IF(K140="Đang làm",0.5,IF(K140="Blocked",0.25,0))))</x:f>
        <x:v>0</x:v>
      </x:c>
      <x:c r="M140" s="30" t="str"/>
      <x:c r="N140" s="30" t="str"/>
    </x:row>
    <x:row r="141">
      <x:c r="A141" s="30" t="str">
        <x:v>M03</x:v>
      </x:c>
      <x:c r="B141" s="30" t="str">
        <x:v>M03-F043</x:v>
      </x:c>
      <x:c r="C141" s="30" t="str">
        <x:v>P2</x:v>
      </x:c>
      <x:c r="D141" s="30" t="str">
        <x:v>KEEP</x:v>
      </x:c>
      <x:c r="E141" s="30" t="str">
        <x:v>T-WP06</x:v>
      </x:c>
      <x:c r="F141" s="30" t="str">
        <x:v>Thắng</x:v>
      </x:c>
      <x:c r="G141" s="30" t="str">
        <x:v>Dòng thời gian trực quan của hội thoại kèm điểm rủi ro theo từng bước</x:v>
      </x:c>
      <x:c r="H141" s="30" t="str">
        <x:v>`R08-06`</x:v>
      </x:c>
      <x:c r="I141" s="30" t="str">
        <x:v>Kiên</x:v>
      </x:c>
      <x:c r="J141" s="30" t="str">
        <x:v>☐</x:v>
      </x:c>
      <x:c r="K141" s="30" t="str">
        <x:v>Chưa bắt đầu</x:v>
      </x:c>
      <x:c r="L141" s="40" t="n">
        <x:f>IF(J141="☑",1,IF(K141="Done",1,IF(K141="Đang làm",0.5,IF(K141="Blocked",0.25,0))))</x:f>
        <x:v>0</x:v>
      </x:c>
      <x:c r="M141" s="30" t="str"/>
      <x:c r="N141" s="30" t="str"/>
    </x:row>
    <x:row r="142">
      <x:c r="A142" s="30" t="str">
        <x:v>M03</x:v>
      </x:c>
      <x:c r="B142" s="30" t="str">
        <x:v>M03-F044</x:v>
      </x:c>
      <x:c r="C142" s="30" t="str">
        <x:v>P0</x:v>
      </x:c>
      <x:c r="D142" s="30" t="str">
        <x:v>KEEP</x:v>
      </x:c>
      <x:c r="E142" s="30" t="str">
        <x:v>T-WP07</x:v>
      </x:c>
      <x:c r="F142" s="30" t="str">
        <x:v>Thắng</x:v>
      </x:c>
      <x:c r="G142" s="30" t="str">
        <x:v>**Không** đọc SMS, notification, call log, danh bạ hay clipboard ngầm; **không** dùng Accessibility Service</x:v>
      </x:c>
      <x:c r="H142" s="30" t="str">
        <x:v>`T11-05`</x:v>
      </x:c>
      <x:c r="I142" s="30" t="str">
        <x:v>Thắng</x:v>
      </x:c>
      <x:c r="J142" s="30" t="str">
        <x:v>☐</x:v>
      </x:c>
      <x:c r="K142" s="30" t="str">
        <x:v>Chưa bắt đầu</x:v>
      </x:c>
      <x:c r="L142" s="40" t="n">
        <x:f>IF(J142="☑",1,IF(K142="Done",1,IF(K142="Đang làm",0.5,IF(K142="Blocked",0.25,0))))</x:f>
        <x:v>0</x:v>
      </x:c>
      <x:c r="M142" s="30" t="str"/>
      <x:c r="N142" s="30" t="str"/>
    </x:row>
    <x:row r="143">
      <x:c r="A143" s="30" t="str">
        <x:v>M03</x:v>
      </x:c>
      <x:c r="B143" s="30" t="str">
        <x:v>M03-F045</x:v>
      </x:c>
      <x:c r="C143" s="30" t="str">
        <x:v>P1</x:v>
      </x:c>
      <x:c r="D143" s="30" t="str">
        <x:v>KEEP</x:v>
      </x:c>
      <x:c r="E143" s="30" t="str">
        <x:v>T-WP07</x:v>
      </x:c>
      <x:c r="F143" s="30" t="str">
        <x:v>Thắng</x:v>
      </x:c>
      <x:c r="G143" s="30" t="str">
        <x:v>Dán nhanh từ clipboard khi ứng dụng đang mở (do người dùng chủ động bấm)</x:v>
      </x:c>
      <x:c r="H143" s="30" t="str">
        <x:v>`T11-07`</x:v>
      </x:c>
      <x:c r="I143" s="30" t="str">
        <x:v>Thắng</x:v>
      </x:c>
      <x:c r="J143" s="30" t="str">
        <x:v>☐</x:v>
      </x:c>
      <x:c r="K143" s="30" t="str">
        <x:v>Chưa bắt đầu</x:v>
      </x:c>
      <x:c r="L143" s="40" t="n">
        <x:f>IF(J143="☑",1,IF(K143="Done",1,IF(K143="Đang làm",0.5,IF(K143="Blocked",0.25,0))))</x:f>
        <x:v>0</x:v>
      </x:c>
      <x:c r="M143" s="30" t="str"/>
      <x:c r="N143" s="30" t="str"/>
    </x:row>
    <x:row r="144">
      <x:c r="A144" s="30" t="str">
        <x:v>M03</x:v>
      </x:c>
      <x:c r="B144" s="30" t="str">
        <x:v>M03-F046</x:v>
      </x:c>
      <x:c r="C144" s="30" t="str">
        <x:v>P0</x:v>
      </x:c>
      <x:c r="D144" s="30" t="str">
        <x:v>ADD</x:v>
      </x:c>
      <x:c r="E144" s="30" t="str">
        <x:v>T-WP07</x:v>
      </x:c>
      <x:c r="F144" s="30" t="str">
        <x:v>Thắng</x:v>
      </x:c>
      <x:c r="G144" s="30" t="str">
        <x:v>`TEXT.contentType` thống nhất `MESSAGE \| TRANSACTION_POST`; không tạo endpoint riêng cho transaction post.</x:v>
      </x:c>
      <x:c r="H144" s="30" t="str">
        <x:v>`ARCH-04 (Architecture V3.2)`</x:v>
      </x:c>
      <x:c r="I144" s="30" t="str">
        <x:v>—</x:v>
      </x:c>
      <x:c r="J144" s="30" t="str">
        <x:v>☐</x:v>
      </x:c>
      <x:c r="K144" s="30" t="str">
        <x:v>Chưa bắt đầu</x:v>
      </x:c>
      <x:c r="L144" s="40" t="n">
        <x:f>IF(J144="☑",1,IF(K144="Done",1,IF(K144="Đang làm",0.5,IF(K144="Blocked",0.25,0))))</x:f>
        <x:v>0</x:v>
      </x:c>
      <x:c r="M144" s="30" t="str"/>
      <x:c r="N144" s="30" t="str"/>
    </x:row>
    <x:row r="145">
      <x:c r="A145" s="30" t="str">
        <x:v>M03</x:v>
      </x:c>
      <x:c r="B145" s="30" t="str">
        <x:v>M03-F047</x:v>
      </x:c>
      <x:c r="C145" s="30" t="str">
        <x:v>P0</x:v>
      </x:c>
      <x:c r="D145" s="30" t="str">
        <x:v>ADD</x:v>
      </x:c>
      <x:c r="E145" s="30" t="str">
        <x:v>T-WP07</x:v>
      </x:c>
      <x:c r="F145" s="30" t="str">
        <x:v>Thắng</x:v>
      </x:c>
      <x:c r="G145" s="30" t="str">
        <x:v>Text Worker trả `DerivedIndicator[]` cho URL/Phone/Bank và `pendingAiTasks[]`; M12 Orchestrator quyết định `REPUTATION_ONLY`/`CHILD_SCAN`, tạo child scans và chờ AI task, worker không gọi worker/core trực tiếp.</x:v>
      </x:c>
      <x:c r="H145" s="30" t="str">
        <x:v>`ARCH-V3.2-04`</x:v>
      </x:c>
      <x:c r="I145" s="30" t="str">
        <x:v>—</x:v>
      </x:c>
      <x:c r="J145" s="30" t="str">
        <x:v>☐</x:v>
      </x:c>
      <x:c r="K145" s="30" t="str">
        <x:v>Chưa bắt đầu</x:v>
      </x:c>
      <x:c r="L145" s="40" t="n">
        <x:f>IF(J145="☑",1,IF(K145="Done",1,IF(K145="Đang làm",0.5,IF(K145="Blocked",0.25,0))))</x:f>
        <x:v>0</x:v>
      </x:c>
      <x:c r="M145" s="30" t="str"/>
      <x:c r="N145" s="30" t="str"/>
    </x:row>
    <x:row r="146">
      <x:c r="A146" s="30" t="str">
        <x:v>M03</x:v>
      </x:c>
      <x:c r="B146" s="30" t="str">
        <x:v>M03-F048</x:v>
      </x:c>
      <x:c r="C146" s="30" t="str">
        <x:v>P0</x:v>
      </x:c>
      <x:c r="D146" s="30" t="str">
        <x:v>ADD</x:v>
      </x:c>
      <x:c r="E146" s="30" t="str">
        <x:v>T-WP07</x:v>
      </x:c>
      <x:c r="F146" s="30" t="str">
        <x:v>Thắng</x:v>
      </x:c>
      <x:c r="G146" s="30" t="str">
        <x:v>Phát hiện yêu cầu/thu thập CCCD như `SENSITIVE_IDENTITY_REQUEST`/sensitive-data signal; không có standalone CCCD lookup trong MVP.</x:v>
      </x:c>
      <x:c r="H146" s="30" t="str">
        <x:v>`ARCH-06 (Architecture V3.2)`</x:v>
      </x:c>
      <x:c r="I146" s="30" t="str">
        <x:v>—</x:v>
      </x:c>
      <x:c r="J146" s="30" t="str">
        <x:v>☐</x:v>
      </x:c>
      <x:c r="K146" s="30" t="str">
        <x:v>Chưa bắt đầu</x:v>
      </x:c>
      <x:c r="L146" s="40" t="n">
        <x:f>IF(J146="☑",1,IF(K146="Done",1,IF(K146="Đang làm",0.5,IF(K146="Blocked",0.25,0))))</x:f>
        <x:v>0</x:v>
      </x:c>
      <x:c r="M146" s="30" t="str"/>
      <x:c r="N146" s="30" t="str"/>
    </x:row>
    <x:row r="147">
      <x:c r="A147" s="30" t="str">
        <x:v>M04</x:v>
      </x:c>
      <x:c r="B147" s="30" t="str">
        <x:v>M04-F001</x:v>
      </x:c>
      <x:c r="C147" s="30" t="str">
        <x:v>P0</x:v>
      </x:c>
      <x:c r="D147" s="30" t="str">
        <x:v>MODIFY</x:v>
      </x:c>
      <x:c r="E147" s="30" t="str">
        <x:v>I-WP15</x:v>
      </x:c>
      <x:c r="F147" s="30" t="str">
        <x:v>Kiên</x:v>
      </x:c>
      <x:c r="G147" s="30" t="str">
        <x:v>`POST /v1/scans/entity` (`entityType=PHONE`), chuẩn hoá về `+84xxxxxxxxx`</x:v>
      </x:c>
      <x:c r="H147" s="30" t="str">
        <x:v>`T01-01`</x:v>
      </x:c>
      <x:c r="I147" s="30" t="str">
        <x:v>Thắng</x:v>
      </x:c>
      <x:c r="J147" s="30" t="str">
        <x:v>☐</x:v>
      </x:c>
      <x:c r="K147" s="30" t="str">
        <x:v>Chưa bắt đầu</x:v>
      </x:c>
      <x:c r="L147" s="40" t="n">
        <x:f>IF(J147="☑",1,IF(K147="Done",1,IF(K147="Đang làm",0.5,IF(K147="Blocked",0.25,0))))</x:f>
        <x:v>0</x:v>
      </x:c>
      <x:c r="M147" s="30" t="str"/>
      <x:c r="N147" s="30" t="str"/>
    </x:row>
    <x:row r="148">
      <x:c r="A148" s="30" t="str">
        <x:v>M04</x:v>
      </x:c>
      <x:c r="B148" s="30" t="str">
        <x:v>M04-F002</x:v>
      </x:c>
      <x:c r="C148" s="30" t="str">
        <x:v>P0</x:v>
      </x:c>
      <x:c r="D148" s="30" t="str">
        <x:v>KEEP</x:v>
      </x:c>
      <x:c r="E148" s="30" t="str">
        <x:v>I-WP15</x:v>
      </x:c>
      <x:c r="F148" s="30" t="str">
        <x:v>Kiên</x:v>
      </x:c>
      <x:c r="G148" s="30" t="str">
        <x:v>Tra `risk_entities` và số lượt bị báo cáo</x:v>
      </x:c>
      <x:c r="H148" s="30" t="str">
        <x:v>`T01-02`</x:v>
      </x:c>
      <x:c r="I148" s="30" t="str">
        <x:v>Thắng</x:v>
      </x:c>
      <x:c r="J148" s="30" t="str">
        <x:v>☐</x:v>
      </x:c>
      <x:c r="K148" s="30" t="str">
        <x:v>Chưa bắt đầu</x:v>
      </x:c>
      <x:c r="L148" s="40" t="n">
        <x:f>IF(J148="☑",1,IF(K148="Done",1,IF(K148="Đang làm",0.5,IF(K148="Blocked",0.25,0))))</x:f>
        <x:v>0</x:v>
      </x:c>
      <x:c r="M148" s="30" t="str"/>
      <x:c r="N148" s="30" t="str"/>
    </x:row>
    <x:row r="149">
      <x:c r="A149" s="30" t="str">
        <x:v>M04</x:v>
      </x:c>
      <x:c r="B149" s="30" t="str">
        <x:v>M04-F003</x:v>
      </x:c>
      <x:c r="C149" s="30" t="str">
        <x:v>P0</x:v>
      </x:c>
      <x:c r="D149" s="30" t="str">
        <x:v>KEEP</x:v>
      </x:c>
      <x:c r="E149" s="30" t="str">
        <x:v>I-WP15</x:v>
      </x:c>
      <x:c r="F149" s="30" t="str">
        <x:v>Kiên</x:v>
      </x:c>
      <x:c r="G149" s="30" t="str">
        <x:v>Tính điểm theo: có trong danh sách đen, số báo cáo, số báo cáo đã xác minh</x:v>
      </x:c>
      <x:c r="H149" s="30" t="str">
        <x:v>`T01-03`</x:v>
      </x:c>
      <x:c r="I149" s="30" t="str">
        <x:v>Thắng</x:v>
      </x:c>
      <x:c r="J149" s="30" t="str">
        <x:v>☐</x:v>
      </x:c>
      <x:c r="K149" s="30" t="str">
        <x:v>Chưa bắt đầu</x:v>
      </x:c>
      <x:c r="L149" s="40" t="n">
        <x:f>IF(J149="☑",1,IF(K149="Done",1,IF(K149="Đang làm",0.5,IF(K149="Blocked",0.25,0))))</x:f>
        <x:v>0</x:v>
      </x:c>
      <x:c r="M149" s="30" t="str"/>
      <x:c r="N149" s="30" t="str"/>
    </x:row>
    <x:row r="150">
      <x:c r="A150" s="30" t="str">
        <x:v>M04</x:v>
      </x:c>
      <x:c r="B150" s="30" t="str">
        <x:v>M04-F004</x:v>
      </x:c>
      <x:c r="C150" s="30" t="str">
        <x:v>P1</x:v>
      </x:c>
      <x:c r="D150" s="30" t="str">
        <x:v>KEEP</x:v>
      </x:c>
      <x:c r="E150" s="30" t="str">
        <x:v>I-WP15</x:v>
      </x:c>
      <x:c r="F150" s="30" t="str">
        <x:v>Kiên</x:v>
      </x:c>
      <x:c r="G150" s="30" t="str">
        <x:v>Suy giảm điểm theo thời gian — báo cáo cũ có trọng số thấp hơn</x:v>
      </x:c>
      <x:c r="H150" s="30" t="str">
        <x:v>`T01-04`</x:v>
      </x:c>
      <x:c r="I150" s="30" t="str">
        <x:v>Thắng</x:v>
      </x:c>
      <x:c r="J150" s="30" t="str">
        <x:v>☐</x:v>
      </x:c>
      <x:c r="K150" s="30" t="str">
        <x:v>Chưa bắt đầu</x:v>
      </x:c>
      <x:c r="L150" s="40" t="n">
        <x:f>IF(J150="☑",1,IF(K150="Done",1,IF(K150="Đang làm",0.5,IF(K150="Blocked",0.25,0))))</x:f>
        <x:v>0</x:v>
      </x:c>
      <x:c r="M150" s="30" t="str"/>
      <x:c r="N150" s="30" t="str"/>
    </x:row>
    <x:row r="151">
      <x:c r="A151" s="30" t="str">
        <x:v>M04</x:v>
      </x:c>
      <x:c r="B151" s="30" t="str">
        <x:v>M04-F005</x:v>
      </x:c>
      <x:c r="C151" s="30" t="str">
        <x:v>P1</x:v>
      </x:c>
      <x:c r="D151" s="30" t="str">
        <x:v>MODIFY</x:v>
      </x:c>
      <x:c r="E151" s="30" t="str">
        <x:v>I-WP15</x:v>
      </x:c>
      <x:c r="F151" s="30" t="str">
        <x:v>Kiên</x:v>
      </x:c>
      <x:c r="G151" s="30" t="str">
        <x:v>Tra uy tín số điện thoại qua core `ThreatQuery` cache-aside: Redis hit, cache miss về PostgreSQL; TTL theo source, mặc định 1 giờ thay vì hard-code theo entity.</x:v>
      </x:c>
      <x:c r="H151" s="30" t="str">
        <x:v>`T01-05 + MODSPEC-V1.3`</x:v>
      </x:c>
      <x:c r="I151" s="30" t="str">
        <x:v>Thắng</x:v>
      </x:c>
      <x:c r="J151" s="30" t="str">
        <x:v>☐</x:v>
      </x:c>
      <x:c r="K151" s="30" t="str">
        <x:v>Chưa bắt đầu</x:v>
      </x:c>
      <x:c r="L151" s="40" t="n">
        <x:f>IF(J151="☑",1,IF(K151="Done",1,IF(K151="Đang làm",0.5,IF(K151="Blocked",0.25,0))))</x:f>
        <x:v>0</x:v>
      </x:c>
      <x:c r="M151" s="30" t="str"/>
      <x:c r="N151" s="30" t="str"/>
    </x:row>
    <x:row r="152">
      <x:c r="A152" s="30" t="str">
        <x:v>M04</x:v>
      </x:c>
      <x:c r="B152" s="30" t="str">
        <x:v>M04-F006</x:v>
      </x:c>
      <x:c r="C152" s="30" t="str">
        <x:v>P1</x:v>
      </x:c>
      <x:c r="D152" s="30" t="str">
        <x:v>KEEP</x:v>
      </x:c>
      <x:c r="E152" s="30" t="str">
        <x:v>I-WP15</x:v>
      </x:c>
      <x:c r="F152" s="30" t="str">
        <x:v>Kiên</x:v>
      </x:c>
      <x:c r="G152" s="30" t="str">
        <x:v>Che số điện thoại khi ghi log và khi hiển thị công khai</x:v>
      </x:c>
      <x:c r="H152" s="30" t="str">
        <x:v>`T01-06`</x:v>
      </x:c>
      <x:c r="I152" s="30" t="str">
        <x:v>Thắng</x:v>
      </x:c>
      <x:c r="J152" s="30" t="str">
        <x:v>☐</x:v>
      </x:c>
      <x:c r="K152" s="30" t="str">
        <x:v>Chưa bắt đầu</x:v>
      </x:c>
      <x:c r="L152" s="40" t="n">
        <x:f>IF(J152="☑",1,IF(K152="Done",1,IF(K152="Đang làm",0.5,IF(K152="Blocked",0.25,0))))</x:f>
        <x:v>0</x:v>
      </x:c>
      <x:c r="M152" s="30" t="str"/>
      <x:c r="N152" s="30" t="str"/>
    </x:row>
    <x:row r="153">
      <x:c r="A153" s="30" t="str">
        <x:v>M04</x:v>
      </x:c>
      <x:c r="B153" s="30" t="str">
        <x:v>M04-F007</x:v>
      </x:c>
      <x:c r="C153" s="30" t="str">
        <x:v>P2</x:v>
      </x:c>
      <x:c r="D153" s="30" t="str">
        <x:v>KEEP</x:v>
      </x:c>
      <x:c r="E153" s="30" t="str">
        <x:v>I-WP15</x:v>
      </x:c>
      <x:c r="F153" s="30" t="str">
        <x:v>Kiên</x:v>
      </x:c>
      <x:c r="G153" s="30" t="str">
        <x:v>Nhận diện đầu số dịch vụ, đầu số quốc tế bất thường</x:v>
      </x:c>
      <x:c r="H153" s="30" t="str">
        <x:v>`T01-07`</x:v>
      </x:c>
      <x:c r="I153" s="30" t="str">
        <x:v>Thắng</x:v>
      </x:c>
      <x:c r="J153" s="30" t="str">
        <x:v>☐</x:v>
      </x:c>
      <x:c r="K153" s="30" t="str">
        <x:v>Chưa bắt đầu</x:v>
      </x:c>
      <x:c r="L153" s="40" t="n">
        <x:f>IF(J153="☑",1,IF(K153="Done",1,IF(K153="Đang làm",0.5,IF(K153="Blocked",0.25,0))))</x:f>
        <x:v>0</x:v>
      </x:c>
      <x:c r="M153" s="30" t="str"/>
      <x:c r="N153" s="30" t="str"/>
    </x:row>
    <x:row r="154">
      <x:c r="A154" s="30" t="str">
        <x:v>M04</x:v>
      </x:c>
      <x:c r="B154" s="30" t="str">
        <x:v>M04-F008</x:v>
      </x:c>
      <x:c r="C154" s="30" t="str">
        <x:v>P2</x:v>
      </x:c>
      <x:c r="D154" s="30" t="str">
        <x:v>KEEP</x:v>
      </x:c>
      <x:c r="E154" s="30" t="str">
        <x:v>I-WP15</x:v>
      </x:c>
      <x:c r="F154" s="30" t="str">
        <x:v>Kiên</x:v>
      </x:c>
      <x:c r="G154" s="30" t="str">
        <x:v>Nhận diện số giả mạo tổng đài ngân hàng</x:v>
      </x:c>
      <x:c r="H154" s="30" t="str">
        <x:v>`T01-08`</x:v>
      </x:c>
      <x:c r="I154" s="30" t="str">
        <x:v>Thắng</x:v>
      </x:c>
      <x:c r="J154" s="30" t="str">
        <x:v>☐</x:v>
      </x:c>
      <x:c r="K154" s="30" t="str">
        <x:v>Chưa bắt đầu</x:v>
      </x:c>
      <x:c r="L154" s="40" t="n">
        <x:f>IF(J154="☑",1,IF(K154="Done",1,IF(K154="Đang làm",0.5,IF(K154="Blocked",0.25,0))))</x:f>
        <x:v>0</x:v>
      </x:c>
      <x:c r="M154" s="30" t="str"/>
      <x:c r="N154" s="30" t="str"/>
    </x:row>
    <x:row r="155">
      <x:c r="A155" s="30" t="str">
        <x:v>M04</x:v>
      </x:c>
      <x:c r="B155" s="30" t="str">
        <x:v>M04-F009</x:v>
      </x:c>
      <x:c r="C155" s="30" t="str">
        <x:v>P0</x:v>
      </x:c>
      <x:c r="D155" s="30" t="str">
        <x:v>MODIFY</x:v>
      </x:c>
      <x:c r="E155" s="30" t="str">
        <x:v>I-WP16</x:v>
      </x:c>
      <x:c r="F155" s="30" t="str">
        <x:v>Kiên</x:v>
      </x:c>
      <x:c r="G155" s="30" t="str">
        <x:v>`POST /v1/scans/entity` (`entityType=BANK_ACCOUNT`), chuẩn hoá số tài khoản và mã ngân hàng</x:v>
      </x:c>
      <x:c r="H155" s="30" t="str">
        <x:v>`T02-01`</x:v>
      </x:c>
      <x:c r="I155" s="30" t="str">
        <x:v>Thắng</x:v>
      </x:c>
      <x:c r="J155" s="30" t="str">
        <x:v>☐</x:v>
      </x:c>
      <x:c r="K155" s="30" t="str">
        <x:v>Chưa bắt đầu</x:v>
      </x:c>
      <x:c r="L155" s="40" t="n">
        <x:f>IF(J155="☑",1,IF(K155="Done",1,IF(K155="Đang làm",0.5,IF(K155="Blocked",0.25,0))))</x:f>
        <x:v>0</x:v>
      </x:c>
      <x:c r="M155" s="30" t="str"/>
      <x:c r="N155" s="30" t="str"/>
    </x:row>
    <x:row r="156">
      <x:c r="A156" s="30" t="str">
        <x:v>M04</x:v>
      </x:c>
      <x:c r="B156" s="30" t="str">
        <x:v>M04-F010</x:v>
      </x:c>
      <x:c r="C156" s="30" t="str">
        <x:v>P0</x:v>
      </x:c>
      <x:c r="D156" s="30" t="str">
        <x:v>KEEP</x:v>
      </x:c>
      <x:c r="E156" s="30" t="str">
        <x:v>I-WP16</x:v>
      </x:c>
      <x:c r="F156" s="30" t="str">
        <x:v>Kiên</x:v>
      </x:c>
      <x:c r="G156" s="30" t="str">
        <x:v>Validate mã ngân hàng theo danh sách ngân hàng Việt Nam</x:v>
      </x:c>
      <x:c r="H156" s="30" t="str">
        <x:v>`T02-02`</x:v>
      </x:c>
      <x:c r="I156" s="30" t="str">
        <x:v>Thắng</x:v>
      </x:c>
      <x:c r="J156" s="30" t="str">
        <x:v>☐</x:v>
      </x:c>
      <x:c r="K156" s="30" t="str">
        <x:v>Chưa bắt đầu</x:v>
      </x:c>
      <x:c r="L156" s="40" t="n">
        <x:f>IF(J156="☑",1,IF(K156="Done",1,IF(K156="Đang làm",0.5,IF(K156="Blocked",0.25,0))))</x:f>
        <x:v>0</x:v>
      </x:c>
      <x:c r="M156" s="30" t="str"/>
      <x:c r="N156" s="30" t="str"/>
    </x:row>
    <x:row r="157">
      <x:c r="A157" s="30" t="str">
        <x:v>M04</x:v>
      </x:c>
      <x:c r="B157" s="30" t="str">
        <x:v>M04-F011</x:v>
      </x:c>
      <x:c r="C157" s="30" t="str">
        <x:v>P0</x:v>
      </x:c>
      <x:c r="D157" s="30" t="str">
        <x:v>KEEP</x:v>
      </x:c>
      <x:c r="E157" s="30" t="str">
        <x:v>I-WP16</x:v>
      </x:c>
      <x:c r="F157" s="30" t="str">
        <x:v>Kiên</x:v>
      </x:c>
      <x:c r="G157" s="30" t="str">
        <x:v>Tra `risk_entities` và các báo cáo liên quan</x:v>
      </x:c>
      <x:c r="H157" s="30" t="str">
        <x:v>`T02-03`</x:v>
      </x:c>
      <x:c r="I157" s="30" t="str">
        <x:v>Thắng</x:v>
      </x:c>
      <x:c r="J157" s="30" t="str">
        <x:v>☐</x:v>
      </x:c>
      <x:c r="K157" s="30" t="str">
        <x:v>Chưa bắt đầu</x:v>
      </x:c>
      <x:c r="L157" s="40" t="n">
        <x:f>IF(J157="☑",1,IF(K157="Done",1,IF(K157="Đang làm",0.5,IF(K157="Blocked",0.25,0))))</x:f>
        <x:v>0</x:v>
      </x:c>
      <x:c r="M157" s="30" t="str"/>
      <x:c r="N157" s="30" t="str"/>
    </x:row>
    <x:row r="158">
      <x:c r="A158" s="30" t="str">
        <x:v>M04</x:v>
      </x:c>
      <x:c r="B158" s="30" t="str">
        <x:v>M04-F012</x:v>
      </x:c>
      <x:c r="C158" s="30" t="str">
        <x:v>P1</x:v>
      </x:c>
      <x:c r="D158" s="30" t="str">
        <x:v>MODIFY</x:v>
      </x:c>
      <x:c r="E158" s="30" t="str">
        <x:v>I-WP16</x:v>
      </x:c>
      <x:c r="F158" s="30" t="str">
        <x:v>Kiên</x:v>
      </x:c>
      <x:c r="G158" s="30" t="str">
        <x:v>Tra uy tín tài khoản ngân hàng qua cùng core `ThreatQuery` cache-aside; Redis chỉ là hot cache, TTL theo source (mặc định 1 giờ), PostgreSQL là source of truth.</x:v>
      </x:c>
      <x:c r="H158" s="30" t="str">
        <x:v>`T02-04 + MODSPEC-V1.3`</x:v>
      </x:c>
      <x:c r="I158" s="30" t="str">
        <x:v>Thắng</x:v>
      </x:c>
      <x:c r="J158" s="30" t="str">
        <x:v>☐</x:v>
      </x:c>
      <x:c r="K158" s="30" t="str">
        <x:v>Chưa bắt đầu</x:v>
      </x:c>
      <x:c r="L158" s="40" t="n">
        <x:f>IF(J158="☑",1,IF(K158="Done",1,IF(K158="Đang làm",0.5,IF(K158="Blocked",0.25,0))))</x:f>
        <x:v>0</x:v>
      </x:c>
      <x:c r="M158" s="30" t="str"/>
      <x:c r="N158" s="30" t="str"/>
    </x:row>
    <x:row r="159">
      <x:c r="A159" s="30" t="str">
        <x:v>M04</x:v>
      </x:c>
      <x:c r="B159" s="30" t="str">
        <x:v>M04-F013</x:v>
      </x:c>
      <x:c r="C159" s="30" t="str">
        <x:v>P1</x:v>
      </x:c>
      <x:c r="D159" s="30" t="str">
        <x:v>KEEP</x:v>
      </x:c>
      <x:c r="E159" s="30" t="str">
        <x:v>I-WP16</x:v>
      </x:c>
      <x:c r="F159" s="30" t="str">
        <x:v>Kiên</x:v>
      </x:c>
      <x:c r="G159" s="30" t="str">
        <x:v>Che số tài khoản khi ghi log (`****1234`)</x:v>
      </x:c>
      <x:c r="H159" s="30" t="str">
        <x:v>`T02-05`</x:v>
      </x:c>
      <x:c r="I159" s="30" t="str">
        <x:v>Thắng</x:v>
      </x:c>
      <x:c r="J159" s="30" t="str">
        <x:v>☐</x:v>
      </x:c>
      <x:c r="K159" s="30" t="str">
        <x:v>Chưa bắt đầu</x:v>
      </x:c>
      <x:c r="L159" s="40" t="n">
        <x:f>IF(J159="☑",1,IF(K159="Done",1,IF(K159="Đang làm",0.5,IF(K159="Blocked",0.25,0))))</x:f>
        <x:v>0</x:v>
      </x:c>
      <x:c r="M159" s="30" t="str"/>
      <x:c r="N159" s="30" t="str"/>
    </x:row>
    <x:row r="160">
      <x:c r="A160" s="30" t="str">
        <x:v>M04</x:v>
      </x:c>
      <x:c r="B160" s="30" t="str">
        <x:v>M04-F014</x:v>
      </x:c>
      <x:c r="C160" s="30" t="str">
        <x:v>P1</x:v>
      </x:c>
      <x:c r="D160" s="30" t="str">
        <x:v>KEEP</x:v>
      </x:c>
      <x:c r="E160" s="30" t="str">
        <x:v>I-WP16</x:v>
      </x:c>
      <x:c r="F160" s="30" t="str">
        <x:v>Kiên</x:v>
      </x:c>
      <x:c r="G160" s="30" t="str">
        <x:v>Cảnh báo khi tên chủ tài khoản không khớp với tên người bán được nhắc tới</x:v>
      </x:c>
      <x:c r="H160" s="30" t="str">
        <x:v>`T02-06`</x:v>
      </x:c>
      <x:c r="I160" s="30" t="str">
        <x:v>Thắng</x:v>
      </x:c>
      <x:c r="J160" s="30" t="str">
        <x:v>☐</x:v>
      </x:c>
      <x:c r="K160" s="30" t="str">
        <x:v>Chưa bắt đầu</x:v>
      </x:c>
      <x:c r="L160" s="40" t="n">
        <x:f>IF(J160="☑",1,IF(K160="Done",1,IF(K160="Đang làm",0.5,IF(K160="Blocked",0.25,0))))</x:f>
        <x:v>0</x:v>
      </x:c>
      <x:c r="M160" s="30" t="str"/>
      <x:c r="N160" s="30" t="str"/>
    </x:row>
    <x:row r="161">
      <x:c r="A161" s="30" t="str">
        <x:v>M04</x:v>
      </x:c>
      <x:c r="B161" s="30" t="str">
        <x:v>M04-F015</x:v>
      </x:c>
      <x:c r="C161" s="30" t="str">
        <x:v>P2</x:v>
      </x:c>
      <x:c r="D161" s="30" t="str">
        <x:v>KEEP</x:v>
      </x:c>
      <x:c r="E161" s="30" t="str">
        <x:v>I-WP16</x:v>
      </x:c>
      <x:c r="F161" s="30" t="str">
        <x:v>Kiên</x:v>
      </x:c>
      <x:c r="G161" s="30" t="str">
        <x:v>Nhóm các báo cáo cùng một số tài khoản để thấy quy mô</x:v>
      </x:c>
      <x:c r="H161" s="30" t="str">
        <x:v>`T02-07`</x:v>
      </x:c>
      <x:c r="I161" s="30" t="str">
        <x:v>Thắng</x:v>
      </x:c>
      <x:c r="J161" s="30" t="str">
        <x:v>☐</x:v>
      </x:c>
      <x:c r="K161" s="30" t="str">
        <x:v>Chưa bắt đầu</x:v>
      </x:c>
      <x:c r="L161" s="40" t="n">
        <x:f>IF(J161="☑",1,IF(K161="Done",1,IF(K161="Đang làm",0.5,IF(K161="Blocked",0.25,0))))</x:f>
        <x:v>0</x:v>
      </x:c>
      <x:c r="M161" s="30" t="str"/>
      <x:c r="N161" s="30" t="str"/>
    </x:row>
    <x:row r="162">
      <x:c r="A162" s="30" t="str">
        <x:v>M04</x:v>
      </x:c>
      <x:c r="B162" s="30" t="str">
        <x:v>M04-F016</x:v>
      </x:c>
      <x:c r="C162" s="30" t="str">
        <x:v>P2</x:v>
      </x:c>
      <x:c r="D162" s="30" t="str">
        <x:v>KEEP</x:v>
      </x:c>
      <x:c r="E162" s="30" t="str">
        <x:v>I-WP16</x:v>
      </x:c>
      <x:c r="F162" s="30" t="str">
        <x:v>Kiên</x:v>
      </x:c>
      <x:c r="G162" s="30" t="str">
        <x:v>Cảnh báo tài khoản xuất hiện trong nhiều vụ khác nhau</x:v>
      </x:c>
      <x:c r="H162" s="30" t="str">
        <x:v>`T02-08`</x:v>
      </x:c>
      <x:c r="I162" s="30" t="str">
        <x:v>Thắng</x:v>
      </x:c>
      <x:c r="J162" s="30" t="str">
        <x:v>☐</x:v>
      </x:c>
      <x:c r="K162" s="30" t="str">
        <x:v>Chưa bắt đầu</x:v>
      </x:c>
      <x:c r="L162" s="40" t="n">
        <x:f>IF(J162="☑",1,IF(K162="Done",1,IF(K162="Đang làm",0.5,IF(K162="Blocked",0.25,0))))</x:f>
        <x:v>0</x:v>
      </x:c>
      <x:c r="M162" s="30" t="str"/>
      <x:c r="N162" s="30" t="str"/>
    </x:row>
    <x:row r="163">
      <x:c r="A163" s="30" t="str">
        <x:v>M04</x:v>
      </x:c>
      <x:c r="B163" s="30" t="str">
        <x:v>M04-F017</x:v>
      </x:c>
      <x:c r="C163" s="30" t="str">
        <x:v>P0</x:v>
      </x:c>
      <x:c r="D163" s="30" t="str">
        <x:v>ADD</x:v>
      </x:c>
      <x:c r="E163" s="30" t="str">
        <x:v>I-WP17</x:v>
      </x:c>
      <x:c r="F163" s="30" t="str">
        <x:v>Kiên</x:v>
      </x:c>
      <x:c r="G163" s="30" t="str">
        <x:v>Phone và Bank dùng chung `POST /v1/scans/entity` + `entityType`; validation/normalization theo strategy.</x:v>
      </x:c>
      <x:c r="H163" s="30" t="str">
        <x:v>`ARCH-07 (Architecture V3.2)`</x:v>
      </x:c>
      <x:c r="I163" s="30" t="str">
        <x:v>—</x:v>
      </x:c>
      <x:c r="J163" s="30" t="str">
        <x:v>☐</x:v>
      </x:c>
      <x:c r="K163" s="30" t="str">
        <x:v>Chưa bắt đầu</x:v>
      </x:c>
      <x:c r="L163" s="40" t="n">
        <x:f>IF(J163="☑",1,IF(K163="Done",1,IF(K163="Đang làm",0.5,IF(K163="Blocked",0.25,0))))</x:f>
        <x:v>0</x:v>
      </x:c>
      <x:c r="M163" s="30" t="str"/>
      <x:c r="N163" s="30" t="str"/>
    </x:row>
    <x:row r="164">
      <x:c r="A164" s="30" t="str">
        <x:v>M04</x:v>
      </x:c>
      <x:c r="B164" s="30" t="str">
        <x:v>M04-F018</x:v>
      </x:c>
      <x:c r="C164" s="30" t="str">
        <x:v>P0</x:v>
      </x:c>
      <x:c r="D164" s="30" t="str">
        <x:v>ADD</x:v>
      </x:c>
      <x:c r="E164" s="30" t="str">
        <x:v>I-WP17</x:v>
      </x:c>
      <x:c r="F164" s="30" t="str">
        <x:v>Kiên</x:v>
      </x:c>
      <x:c r="G164" s="30" t="str">
        <x:v>UI/result phải phân biệt `NO_DATA` với verified-safe; không tìm thấy dữ liệu rủi ro không được diễn giải thành an toàn tuyệt đối.</x:v>
      </x:c>
      <x:c r="H164" s="30" t="str">
        <x:v>`ARCH-08 (Architecture V3.2)`</x:v>
      </x:c>
      <x:c r="I164" s="30" t="str">
        <x:v>—</x:v>
      </x:c>
      <x:c r="J164" s="30" t="str">
        <x:v>☐</x:v>
      </x:c>
      <x:c r="K164" s="30" t="str">
        <x:v>Chưa bắt đầu</x:v>
      </x:c>
      <x:c r="L164" s="40" t="n">
        <x:f>IF(J164="☑",1,IF(K164="Done",1,IF(K164="Đang làm",0.5,IF(K164="Blocked",0.25,0))))</x:f>
        <x:v>0</x:v>
      </x:c>
      <x:c r="M164" s="30" t="str"/>
      <x:c r="N164" s="30" t="str"/>
    </x:row>
    <x:row r="165">
      <x:c r="A165" s="30" t="str">
        <x:v>M05</x:v>
      </x:c>
      <x:c r="B165" s="30" t="str">
        <x:v>M05-F001</x:v>
      </x:c>
      <x:c r="C165" s="30" t="str">
        <x:v>P0</x:v>
      </x:c>
      <x:c r="D165" s="30" t="str">
        <x:v>MODIFY</x:v>
      </x:c>
      <x:c r="E165" s="30" t="str">
        <x:v>T-WP08</x:v>
      </x:c>
      <x:c r="F165" s="30" t="str">
        <x:v>Thắng</x:v>
      </x:c>
      <x:c r="G165" s="30" t="str">
        <x:v>`POST /v1/scans/qr` nhận ảnh multipart hoặc encoded QR payload theo contract; Mobile có thể decode trên thiết bị nhưng server không phụ thuộc bắt buộc vào client decode.</x:v>
      </x:c>
      <x:c r="H165" s="30" t="str">
        <x:v>`T03-01`</x:v>
      </x:c>
      <x:c r="I165" s="30" t="str">
        <x:v>Thắng</x:v>
      </x:c>
      <x:c r="J165" s="30" t="str">
        <x:v>☐</x:v>
      </x:c>
      <x:c r="K165" s="30" t="str">
        <x:v>Chưa bắt đầu</x:v>
      </x:c>
      <x:c r="L165" s="40" t="n">
        <x:f>IF(J165="☑",1,IF(K165="Done",1,IF(K165="Đang làm",0.5,IF(K165="Blocked",0.25,0))))</x:f>
        <x:v>0</x:v>
      </x:c>
      <x:c r="M165" s="30" t="str"/>
      <x:c r="N165" s="30" t="str"/>
    </x:row>
    <x:row r="166">
      <x:c r="A166" s="30" t="str">
        <x:v>M05</x:v>
      </x:c>
      <x:c r="B166" s="30" t="str">
        <x:v>M05-F002</x:v>
      </x:c>
      <x:c r="C166" s="30" t="str">
        <x:v>P0</x:v>
      </x:c>
      <x:c r="D166" s="30" t="str">
        <x:v>KEEP</x:v>
      </x:c>
      <x:c r="E166" s="30" t="str">
        <x:v>T-WP08</x:v>
      </x:c>
      <x:c r="F166" s="30" t="str">
        <x:v>Thắng</x:v>
      </x:c>
      <x:c r="G166" s="30" t="str">
        <x:v>Phân loại nội dung QR: URL / VietQR / văn bản thường / không xác định</x:v>
      </x:c>
      <x:c r="H166" s="30" t="str">
        <x:v>`T03-02`</x:v>
      </x:c>
      <x:c r="I166" s="30" t="str">
        <x:v>Thắng</x:v>
      </x:c>
      <x:c r="J166" s="30" t="str">
        <x:v>☐</x:v>
      </x:c>
      <x:c r="K166" s="30" t="str">
        <x:v>Chưa bắt đầu</x:v>
      </x:c>
      <x:c r="L166" s="40" t="n">
        <x:f>IF(J166="☑",1,IF(K166="Done",1,IF(K166="Đang làm",0.5,IF(K166="Blocked",0.25,0))))</x:f>
        <x:v>0</x:v>
      </x:c>
      <x:c r="M166" s="30" t="str"/>
      <x:c r="N166" s="30" t="str"/>
    </x:row>
    <x:row r="167">
      <x:c r="A167" s="30" t="str">
        <x:v>M05</x:v>
      </x:c>
      <x:c r="B167" s="30" t="str">
        <x:v>M05-F003</x:v>
      </x:c>
      <x:c r="C167" s="30" t="str">
        <x:v>P0</x:v>
      </x:c>
      <x:c r="D167" s="30" t="str">
        <x:v>KEEP</x:v>
      </x:c>
      <x:c r="E167" s="30" t="str">
        <x:v>T-WP08</x:v>
      </x:c>
      <x:c r="F167" s="30" t="str">
        <x:v>Thắng</x:v>
      </x:c>
      <x:c r="G167" s="30" t="str">
        <x:v>Định tuyến: URL → quét URL, VietQR → tra tài khoản, văn bản → phân tích nội dung</x:v>
      </x:c>
      <x:c r="H167" s="30" t="str">
        <x:v>`T03-03`</x:v>
      </x:c>
      <x:c r="I167" s="30" t="str">
        <x:v>Thắng</x:v>
      </x:c>
      <x:c r="J167" s="30" t="str">
        <x:v>☐</x:v>
      </x:c>
      <x:c r="K167" s="30" t="str">
        <x:v>Chưa bắt đầu</x:v>
      </x:c>
      <x:c r="L167" s="40" t="n">
        <x:f>IF(J167="☑",1,IF(K167="Done",1,IF(K167="Đang làm",0.5,IF(K167="Blocked",0.25,0))))</x:f>
        <x:v>0</x:v>
      </x:c>
      <x:c r="M167" s="30" t="str"/>
      <x:c r="N167" s="30" t="str"/>
    </x:row>
    <x:row r="168">
      <x:c r="A168" s="30" t="str">
        <x:v>M05</x:v>
      </x:c>
      <x:c r="B168" s="30" t="str">
        <x:v>M05-F004</x:v>
      </x:c>
      <x:c r="C168" s="30" t="str">
        <x:v>P0</x:v>
      </x:c>
      <x:c r="D168" s="30" t="str">
        <x:v>KEEP</x:v>
      </x:c>
      <x:c r="E168" s="30" t="str">
        <x:v>T-WP08</x:v>
      </x:c>
      <x:c r="F168" s="30" t="str">
        <x:v>Thắng</x:v>
      </x:c>
      <x:c r="G168" s="30" t="str">
        <x:v>Parse VietQR lấy mã ngân hàng, số tài khoản, số tiền, nội dung chuyển khoản</x:v>
      </x:c>
      <x:c r="H168" s="30" t="str">
        <x:v>`T03-04`</x:v>
      </x:c>
      <x:c r="I168" s="30" t="str">
        <x:v>Thắng</x:v>
      </x:c>
      <x:c r="J168" s="30" t="str">
        <x:v>☐</x:v>
      </x:c>
      <x:c r="K168" s="30" t="str">
        <x:v>Chưa bắt đầu</x:v>
      </x:c>
      <x:c r="L168" s="40" t="n">
        <x:f>IF(J168="☑",1,IF(K168="Done",1,IF(K168="Đang làm",0.5,IF(K168="Blocked",0.25,0))))</x:f>
        <x:v>0</x:v>
      </x:c>
      <x:c r="M168" s="30" t="str"/>
      <x:c r="N168" s="30" t="str"/>
    </x:row>
    <x:row r="169">
      <x:c r="A169" s="30" t="str">
        <x:v>M05</x:v>
      </x:c>
      <x:c r="B169" s="30" t="str">
        <x:v>M05-F005</x:v>
      </x:c>
      <x:c r="C169" s="30" t="str">
        <x:v>P0</x:v>
      </x:c>
      <x:c r="D169" s="30" t="str">
        <x:v>KEEP</x:v>
      </x:c>
      <x:c r="E169" s="30" t="str">
        <x:v>T-WP08</x:v>
      </x:c>
      <x:c r="F169" s="30" t="str">
        <x:v>Thắng</x:v>
      </x:c>
      <x:c r="G169" s="30" t="str">
        <x:v>QR chứa URL bắt buộc đi qua SSRF guard</x:v>
      </x:c>
      <x:c r="H169" s="30" t="str">
        <x:v>`T03-05`</x:v>
      </x:c>
      <x:c r="I169" s="30" t="str">
        <x:v>Thắng</x:v>
      </x:c>
      <x:c r="J169" s="30" t="str">
        <x:v>☐</x:v>
      </x:c>
      <x:c r="K169" s="30" t="str">
        <x:v>Chưa bắt đầu</x:v>
      </x:c>
      <x:c r="L169" s="40" t="n">
        <x:f>IF(J169="☑",1,IF(K169="Done",1,IF(K169="Đang làm",0.5,IF(K169="Blocked",0.25,0))))</x:f>
        <x:v>0</x:v>
      </x:c>
      <x:c r="M169" s="30" t="str"/>
      <x:c r="N169" s="30" t="str"/>
    </x:row>
    <x:row r="170">
      <x:c r="A170" s="30" t="str">
        <x:v>M05</x:v>
      </x:c>
      <x:c r="B170" s="30" t="str">
        <x:v>M05-F006</x:v>
      </x:c>
      <x:c r="C170" s="30" t="str">
        <x:v>P1</x:v>
      </x:c>
      <x:c r="D170" s="30" t="str">
        <x:v>KEEP</x:v>
      </x:c>
      <x:c r="E170" s="30" t="str">
        <x:v>T-WP08</x:v>
      </x:c>
      <x:c r="F170" s="30" t="str">
        <x:v>Thắng</x:v>
      </x:c>
      <x:c r="G170" s="30" t="str">
        <x:v>Giải mã QR từ ảnh tải lên trên web</x:v>
      </x:c>
      <x:c r="H170" s="30" t="str">
        <x:v>`T03-06`</x:v>
      </x:c>
      <x:c r="I170" s="30" t="str">
        <x:v>Thắng</x:v>
      </x:c>
      <x:c r="J170" s="30" t="str">
        <x:v>☐</x:v>
      </x:c>
      <x:c r="K170" s="30" t="str">
        <x:v>Chưa bắt đầu</x:v>
      </x:c>
      <x:c r="L170" s="40" t="n">
        <x:f>IF(J170="☑",1,IF(K170="Done",1,IF(K170="Đang làm",0.5,IF(K170="Blocked",0.25,0))))</x:f>
        <x:v>0</x:v>
      </x:c>
      <x:c r="M170" s="30" t="str"/>
      <x:c r="N170" s="30" t="str"/>
    </x:row>
    <x:row r="171">
      <x:c r="A171" s="30" t="str">
        <x:v>M05</x:v>
      </x:c>
      <x:c r="B171" s="30" t="str">
        <x:v>M05-F007</x:v>
      </x:c>
      <x:c r="C171" s="30" t="str">
        <x:v>P2</x:v>
      </x:c>
      <x:c r="D171" s="30" t="str">
        <x:v>FUTURE_SCOPE</x:v>
      </x:c>
      <x:c r="E171" s="30" t="str">
        <x:v>T-WP09</x:v>
      </x:c>
      <x:c r="F171" s="30" t="str">
        <x:v>Thắng</x:v>
      </x:c>
      <x:c r="G171" s="30" t="str">
        <x:v>Cảnh báo QR bị dán đè lên QR thật (so với lịch sử quét cùng địa điểm)</x:v>
      </x:c>
      <x:c r="H171" s="30" t="str">
        <x:v>`T03-07`</x:v>
      </x:c>
      <x:c r="I171" s="30" t="str">
        <x:v>Thắng</x:v>
      </x:c>
      <x:c r="J171" s="30" t="str">
        <x:v>☐</x:v>
      </x:c>
      <x:c r="K171" s="30" t="str">
        <x:v>Chưa bắt đầu</x:v>
      </x:c>
      <x:c r="L171" s="40" t="n">
        <x:f>IF(J171="☑",1,IF(K171="Done",1,IF(K171="Đang làm",0.5,IF(K171="Blocked",0.25,0))))</x:f>
        <x:v>0</x:v>
      </x:c>
      <x:c r="M171" s="30" t="str"/>
      <x:c r="N171" s="30" t="str"/>
    </x:row>
    <x:row r="172">
      <x:c r="A172" s="30" t="str">
        <x:v>M05</x:v>
      </x:c>
      <x:c r="B172" s="30" t="str">
        <x:v>M05-F008</x:v>
      </x:c>
      <x:c r="C172" s="30" t="str">
        <x:v>P2</x:v>
      </x:c>
      <x:c r="D172" s="30" t="str">
        <x:v>FUTURE_SCOPE</x:v>
      </x:c>
      <x:c r="E172" s="30" t="str">
        <x:v>T-WP09</x:v>
      </x:c>
      <x:c r="F172" s="30" t="str">
        <x:v>Thắng</x:v>
      </x:c>
      <x:c r="G172" s="30" t="str">
        <x:v>Cảnh báo khi số tiền trong QR khác số tiền người dùng dự kiến</x:v>
      </x:c>
      <x:c r="H172" s="30" t="str">
        <x:v>`T03-08`</x:v>
      </x:c>
      <x:c r="I172" s="30" t="str">
        <x:v>Thắng</x:v>
      </x:c>
      <x:c r="J172" s="30" t="str">
        <x:v>☐</x:v>
      </x:c>
      <x:c r="K172" s="30" t="str">
        <x:v>Chưa bắt đầu</x:v>
      </x:c>
      <x:c r="L172" s="40" t="n">
        <x:f>IF(J172="☑",1,IF(K172="Done",1,IF(K172="Đang làm",0.5,IF(K172="Blocked",0.25,0))))</x:f>
        <x:v>0</x:v>
      </x:c>
      <x:c r="M172" s="30" t="str"/>
      <x:c r="N172" s="30" t="str"/>
    </x:row>
    <x:row r="173">
      <x:c r="A173" s="30" t="str">
        <x:v>M05</x:v>
      </x:c>
      <x:c r="B173" s="30" t="str">
        <x:v>M05-F009</x:v>
      </x:c>
      <x:c r="C173" s="30" t="str">
        <x:v>P0</x:v>
      </x:c>
      <x:c r="D173" s="30" t="str">
        <x:v>KEEP</x:v>
      </x:c>
      <x:c r="E173" s="30" t="str">
        <x:v>T-WP08</x:v>
      </x:c>
      <x:c r="F173" s="30" t="str">
        <x:v>Thắng</x:v>
      </x:c>
      <x:c r="G173" s="30" t="str">
        <x:v>Trình quét QR bằng camera, **giải mã trên thiết bị**, chỉ gửi `qrData` lên server</x:v>
      </x:c>
      <x:c r="H173" s="30" t="str">
        <x:v>`T11-03`</x:v>
      </x:c>
      <x:c r="I173" s="30" t="str">
        <x:v>Thắng</x:v>
      </x:c>
      <x:c r="J173" s="30" t="str">
        <x:v>☐</x:v>
      </x:c>
      <x:c r="K173" s="30" t="str">
        <x:v>Chưa bắt đầu</x:v>
      </x:c>
      <x:c r="L173" s="40" t="n">
        <x:f>IF(J173="☑",1,IF(K173="Done",1,IF(K173="Đang làm",0.5,IF(K173="Blocked",0.25,0))))</x:f>
        <x:v>0</x:v>
      </x:c>
      <x:c r="M173" s="30" t="str"/>
      <x:c r="N173" s="30" t="str"/>
    </x:row>
    <x:row r="174">
      <x:c r="A174" s="30" t="str">
        <x:v>M05</x:v>
      </x:c>
      <x:c r="B174" s="30" t="str">
        <x:v>M05-F010</x:v>
      </x:c>
      <x:c r="C174" s="30" t="str">
        <x:v>P0</x:v>
      </x:c>
      <x:c r="D174" s="30" t="str">
        <x:v>ADD</x:v>
      </x:c>
      <x:c r="E174" s="30" t="str">
        <x:v>T-WP08</x:v>
      </x:c>
      <x:c r="F174" s="30" t="str">
        <x:v>Thắng</x:v>
      </x:c>
      <x:c r="G174" s="30" t="str">
        <x:v>QR Parser chỉ decode/classify/return `DerivedIndicator[]`; M12 Orchestrator chịu trách nhiệm dispatch URL/Text/Entity child scans.</x:v>
      </x:c>
      <x:c r="H174" s="30" t="str">
        <x:v>`ARCH-09 (Architecture V3.2)`</x:v>
      </x:c>
      <x:c r="I174" s="30" t="str">
        <x:v>—</x:v>
      </x:c>
      <x:c r="J174" s="30" t="str">
        <x:v>☐</x:v>
      </x:c>
      <x:c r="K174" s="30" t="str">
        <x:v>Chưa bắt đầu</x:v>
      </x:c>
      <x:c r="L174" s="40" t="n">
        <x:f>IF(J174="☑",1,IF(K174="Done",1,IF(K174="Đang làm",0.5,IF(K174="Blocked",0.25,0))))</x:f>
        <x:v>0</x:v>
      </x:c>
      <x:c r="M174" s="30" t="str"/>
      <x:c r="N174" s="30" t="str"/>
    </x:row>
    <x:row r="175">
      <x:c r="A175" s="30" t="str">
        <x:v>M06</x:v>
      </x:c>
      <x:c r="B175" s="30" t="str">
        <x:v>M06-F001</x:v>
      </x:c>
      <x:c r="C175" s="30" t="str">
        <x:v>P0</x:v>
      </x:c>
      <x:c r="D175" s="30" t="str">
        <x:v>KEEP</x:v>
      </x:c>
      <x:c r="E175" s="30" t="str">
        <x:v>T-WP11</x:v>
      </x:c>
      <x:c r="F175" s="30" t="str">
        <x:v>Thắng</x:v>
      </x:c>
      <x:c r="G175" s="30" t="str">
        <x:v>Người dùng xoá được lịch sử quét của mình</x:v>
      </x:c>
      <x:c r="H175" s="30" t="str">
        <x:v>`H08-03`</x:v>
      </x:c>
      <x:c r="I175" s="30" t="str">
        <x:v>Hùng</x:v>
      </x:c>
      <x:c r="J175" s="30" t="str">
        <x:v>☐</x:v>
      </x:c>
      <x:c r="K175" s="30" t="str">
        <x:v>Chưa bắt đầu</x:v>
      </x:c>
      <x:c r="L175" s="40" t="n">
        <x:f>IF(J175="☑",1,IF(K175="Done",1,IF(K175="Đang làm",0.5,IF(K175="Blocked",0.25,0))))</x:f>
        <x:v>0</x:v>
      </x:c>
      <x:c r="M175" s="30" t="str"/>
      <x:c r="N175" s="30" t="str"/>
    </x:row>
    <x:row r="176">
      <x:c r="A176" s="30" t="str">
        <x:v>M06</x:v>
      </x:c>
      <x:c r="B176" s="30" t="str">
        <x:v>M06-F002</x:v>
      </x:c>
      <x:c r="C176" s="30" t="str">
        <x:v>P1</x:v>
      </x:c>
      <x:c r="D176" s="30" t="str">
        <x:v>KEEP</x:v>
      </x:c>
      <x:c r="E176" s="30" t="str">
        <x:v>T-WP11</x:v>
      </x:c>
      <x:c r="F176" s="30" t="str">
        <x:v>Thắng</x:v>
      </x:c>
      <x:c r="G176" s="30" t="str">
        <x:v>Tự động xoá bản ghi quét cũ hơn N ngày (cấu hình được)</x:v>
      </x:c>
      <x:c r="H176" s="30" t="str">
        <x:v>`H08-04`</x:v>
      </x:c>
      <x:c r="I176" s="30" t="str">
        <x:v>Hùng</x:v>
      </x:c>
      <x:c r="J176" s="30" t="str">
        <x:v>☐</x:v>
      </x:c>
      <x:c r="K176" s="30" t="str">
        <x:v>Chưa bắt đầu</x:v>
      </x:c>
      <x:c r="L176" s="40" t="n">
        <x:f>IF(J176="☑",1,IF(K176="Done",1,IF(K176="Đang làm",0.5,IF(K176="Blocked",0.25,0))))</x:f>
        <x:v>0</x:v>
      </x:c>
      <x:c r="M176" s="30" t="str"/>
      <x:c r="N176" s="30" t="str"/>
    </x:row>
    <x:row r="177">
      <x:c r="A177" s="30" t="str">
        <x:v>M06</x:v>
      </x:c>
      <x:c r="B177" s="30" t="str">
        <x:v>M06-F003</x:v>
      </x:c>
      <x:c r="C177" s="30" t="str">
        <x:v>P0</x:v>
      </x:c>
      <x:c r="D177" s="30" t="str">
        <x:v>MODIFY</x:v>
      </x:c>
      <x:c r="E177" s="30" t="str">
        <x:v>T-WP10</x:v>
      </x:c>
      <x:c r="F177" s="30" t="str">
        <x:v>Thắng</x:v>
      </x:c>
      <x:c r="G177" s="30" t="str">
        <x:v>`GET /v1/scans/history` — chỉ trả scan mà user có quyền truy cập.</x:v>
      </x:c>
      <x:c r="H177" s="30" t="str">
        <x:v>`T10-01`</x:v>
      </x:c>
      <x:c r="I177" s="30" t="str">
        <x:v>Thắng</x:v>
      </x:c>
      <x:c r="J177" s="30" t="str">
        <x:v>☐</x:v>
      </x:c>
      <x:c r="K177" s="30" t="str">
        <x:v>Chưa bắt đầu</x:v>
      </x:c>
      <x:c r="L177" s="40" t="n">
        <x:f>IF(J177="☑",1,IF(K177="Done",1,IF(K177="Đang làm",0.5,IF(K177="Blocked",0.25,0))))</x:f>
        <x:v>0</x:v>
      </x:c>
      <x:c r="M177" s="30" t="str"/>
      <x:c r="N177" s="30" t="str"/>
    </x:row>
    <x:row r="178">
      <x:c r="A178" s="30" t="str">
        <x:v>M06</x:v>
      </x:c>
      <x:c r="B178" s="30" t="str">
        <x:v>M06-F004</x:v>
      </x:c>
      <x:c r="C178" s="30" t="str">
        <x:v>P0</x:v>
      </x:c>
      <x:c r="D178" s="30" t="str">
        <x:v>MODIFY</x:v>
      </x:c>
      <x:c r="E178" s="30" t="str">
        <x:v>T-WP10</x:v>
      </x:c>
      <x:c r="F178" s="30" t="str">
        <x:v>Thắng</x:v>
      </x:c>
      <x:c r="G178" s="30" t="str">
        <x:v>`GET /v1/scans/{scanId}` với authorization theo owner/RBAC; không để client query DB trực tiếp.</x:v>
      </x:c>
      <x:c r="H178" s="30" t="str">
        <x:v>`T10-02`</x:v>
      </x:c>
      <x:c r="I178" s="30" t="str">
        <x:v>Thắng</x:v>
      </x:c>
      <x:c r="J178" s="30" t="str">
        <x:v>☐</x:v>
      </x:c>
      <x:c r="K178" s="30" t="str">
        <x:v>Chưa bắt đầu</x:v>
      </x:c>
      <x:c r="L178" s="40" t="n">
        <x:f>IF(J178="☑",1,IF(K178="Done",1,IF(K178="Đang làm",0.5,IF(K178="Blocked",0.25,0))))</x:f>
        <x:v>0</x:v>
      </x:c>
      <x:c r="M178" s="30" t="str"/>
      <x:c r="N178" s="30" t="str"/>
    </x:row>
    <x:row r="179">
      <x:c r="A179" s="30" t="str">
        <x:v>M06</x:v>
      </x:c>
      <x:c r="B179" s="30" t="str">
        <x:v>M06-F005</x:v>
      </x:c>
      <x:c r="C179" s="30" t="str">
        <x:v>P0</x:v>
      </x:c>
      <x:c r="D179" s="30" t="str">
        <x:v>KEEP</x:v>
      </x:c>
      <x:c r="E179" s="30" t="str">
        <x:v>T-WP10</x:v>
      </x:c>
      <x:c r="F179" s="30" t="str">
        <x:v>Thắng</x:v>
      </x:c>
      <x:c r="G179" s="30" t="str">
        <x:v>Phân trang bằng cursor</x:v>
      </x:c>
      <x:c r="H179" s="30" t="str">
        <x:v>`T10-03`</x:v>
      </x:c>
      <x:c r="I179" s="30" t="str">
        <x:v>Thắng</x:v>
      </x:c>
      <x:c r="J179" s="30" t="str">
        <x:v>☐</x:v>
      </x:c>
      <x:c r="K179" s="30" t="str">
        <x:v>Chưa bắt đầu</x:v>
      </x:c>
      <x:c r="L179" s="40" t="n">
        <x:f>IF(J179="☑",1,IF(K179="Done",1,IF(K179="Đang làm",0.5,IF(K179="Blocked",0.25,0))))</x:f>
        <x:v>0</x:v>
      </x:c>
      <x:c r="M179" s="30" t="str"/>
      <x:c r="N179" s="30" t="str"/>
    </x:row>
    <x:row r="180">
      <x:c r="A180" s="30" t="str">
        <x:v>M06</x:v>
      </x:c>
      <x:c r="B180" s="30" t="str">
        <x:v>M06-F006</x:v>
      </x:c>
      <x:c r="C180" s="30" t="str">
        <x:v>P1</x:v>
      </x:c>
      <x:c r="D180" s="30" t="str">
        <x:v>KEEP</x:v>
      </x:c>
      <x:c r="E180" s="30" t="str">
        <x:v>T-WP10</x:v>
      </x:c>
      <x:c r="F180" s="30" t="str">
        <x:v>Thắng</x:v>
      </x:c>
      <x:c r="G180" s="30" t="str">
        <x:v>Lọc theo loại đầu vào, mức rủi ro, khoảng thời gian</x:v>
      </x:c>
      <x:c r="H180" s="30" t="str">
        <x:v>`T10-04`</x:v>
      </x:c>
      <x:c r="I180" s="30" t="str">
        <x:v>Thắng</x:v>
      </x:c>
      <x:c r="J180" s="30" t="str">
        <x:v>☐</x:v>
      </x:c>
      <x:c r="K180" s="30" t="str">
        <x:v>Chưa bắt đầu</x:v>
      </x:c>
      <x:c r="L180" s="40" t="n">
        <x:f>IF(J180="☑",1,IF(K180="Done",1,IF(K180="Đang làm",0.5,IF(K180="Blocked",0.25,0))))</x:f>
        <x:v>0</x:v>
      </x:c>
      <x:c r="M180" s="30" t="str"/>
      <x:c r="N180" s="30" t="str"/>
    </x:row>
    <x:row r="181">
      <x:c r="A181" s="30" t="str">
        <x:v>M06</x:v>
      </x:c>
      <x:c r="B181" s="30" t="str">
        <x:v>M06-F007</x:v>
      </x:c>
      <x:c r="C181" s="30" t="str">
        <x:v>P1</x:v>
      </x:c>
      <x:c r="D181" s="30" t="str">
        <x:v>KEEP</x:v>
      </x:c>
      <x:c r="E181" s="30" t="str">
        <x:v>T-WP11</x:v>
      </x:c>
      <x:c r="F181" s="30" t="str">
        <x:v>Thắng</x:v>
      </x:c>
      <x:c r="G181" s="30" t="str">
        <x:v>Xoá từng bản ghi hoặc xoá toàn bộ lịch sử, kèm xoá bằng chứng</x:v>
      </x:c>
      <x:c r="H181" s="30" t="str">
        <x:v>`T10-05`</x:v>
      </x:c>
      <x:c r="I181" s="30" t="str">
        <x:v>Thắng</x:v>
      </x:c>
      <x:c r="J181" s="30" t="str">
        <x:v>☐</x:v>
      </x:c>
      <x:c r="K181" s="30" t="str">
        <x:v>Chưa bắt đầu</x:v>
      </x:c>
      <x:c r="L181" s="40" t="n">
        <x:f>IF(J181="☑",1,IF(K181="Done",1,IF(K181="Đang làm",0.5,IF(K181="Blocked",0.25,0))))</x:f>
        <x:v>0</x:v>
      </x:c>
      <x:c r="M181" s="30" t="str"/>
      <x:c r="N181" s="30" t="str"/>
    </x:row>
    <x:row r="182">
      <x:c r="A182" s="30" t="str">
        <x:v>M06</x:v>
      </x:c>
      <x:c r="B182" s="30" t="str">
        <x:v>M06-F008</x:v>
      </x:c>
      <x:c r="C182" s="30" t="str">
        <x:v>P1</x:v>
      </x:c>
      <x:c r="D182" s="30" t="str">
        <x:v>KEEP</x:v>
      </x:c>
      <x:c r="E182" s="30" t="str">
        <x:v>T-WP11</x:v>
      </x:c>
      <x:c r="F182" s="30" t="str">
        <x:v>Thắng</x:v>
      </x:c>
      <x:c r="G182" s="30" t="str">
        <x:v>Đánh dấu và ghi chú cho bản ghi quan trọng</x:v>
      </x:c>
      <x:c r="H182" s="30" t="str">
        <x:v>`T10-06`</x:v>
      </x:c>
      <x:c r="I182" s="30" t="str">
        <x:v>Thắng</x:v>
      </x:c>
      <x:c r="J182" s="30" t="str">
        <x:v>☐</x:v>
      </x:c>
      <x:c r="K182" s="30" t="str">
        <x:v>Chưa bắt đầu</x:v>
      </x:c>
      <x:c r="L182" s="40" t="n">
        <x:f>IF(J182="☑",1,IF(K182="Done",1,IF(K182="Đang làm",0.5,IF(K182="Blocked",0.25,0))))</x:f>
        <x:v>0</x:v>
      </x:c>
      <x:c r="M182" s="30" t="str"/>
      <x:c r="N182" s="30" t="str"/>
    </x:row>
    <x:row r="183">
      <x:c r="A183" s="30" t="str">
        <x:v>M06</x:v>
      </x:c>
      <x:c r="B183" s="30" t="str">
        <x:v>M06-F009</x:v>
      </x:c>
      <x:c r="C183" s="30" t="str">
        <x:v>P2</x:v>
      </x:c>
      <x:c r="D183" s="30" t="str">
        <x:v>KEEP</x:v>
      </x:c>
      <x:c r="E183" s="30" t="str">
        <x:v>T-WP11</x:v>
      </x:c>
      <x:c r="F183" s="30" t="str">
        <x:v>Thắng</x:v>
      </x:c>
      <x:c r="G183" s="30" t="str">
        <x:v>Quét lại một mục cũ để xem điểm đã thay đổi chưa</x:v>
      </x:c>
      <x:c r="H183" s="30" t="str">
        <x:v>`T10-07`</x:v>
      </x:c>
      <x:c r="I183" s="30" t="str">
        <x:v>Thắng</x:v>
      </x:c>
      <x:c r="J183" s="30" t="str">
        <x:v>☐</x:v>
      </x:c>
      <x:c r="K183" s="30" t="str">
        <x:v>Chưa bắt đầu</x:v>
      </x:c>
      <x:c r="L183" s="40" t="n">
        <x:f>IF(J183="☑",1,IF(K183="Done",1,IF(K183="Đang làm",0.5,IF(K183="Blocked",0.25,0))))</x:f>
        <x:v>0</x:v>
      </x:c>
      <x:c r="M183" s="30" t="str"/>
      <x:c r="N183" s="30" t="str"/>
    </x:row>
    <x:row r="184">
      <x:c r="A184" s="30" t="str">
        <x:v>M06</x:v>
      </x:c>
      <x:c r="B184" s="30" t="str">
        <x:v>M06-F010</x:v>
      </x:c>
      <x:c r="C184" s="30" t="str">
        <x:v>P2</x:v>
      </x:c>
      <x:c r="D184" s="30" t="str">
        <x:v>KEEP</x:v>
      </x:c>
      <x:c r="E184" s="30" t="str">
        <x:v>T-WP11</x:v>
      </x:c>
      <x:c r="F184" s="30" t="str">
        <x:v>Thắng</x:v>
      </x:c>
      <x:c r="G184" s="30" t="str">
        <x:v>Xuất lịch sử ra CSV</x:v>
      </x:c>
      <x:c r="H184" s="30" t="str">
        <x:v>`T10-08`</x:v>
      </x:c>
      <x:c r="I184" s="30" t="str">
        <x:v>Thắng</x:v>
      </x:c>
      <x:c r="J184" s="30" t="str">
        <x:v>☐</x:v>
      </x:c>
      <x:c r="K184" s="30" t="str">
        <x:v>Chưa bắt đầu</x:v>
      </x:c>
      <x:c r="L184" s="40" t="n">
        <x:f>IF(J184="☑",1,IF(K184="Done",1,IF(K184="Đang làm",0.5,IF(K184="Blocked",0.25,0))))</x:f>
        <x:v>0</x:v>
      </x:c>
      <x:c r="M184" s="30" t="str"/>
      <x:c r="N184" s="30" t="str"/>
    </x:row>
    <x:row r="185">
      <x:c r="A185" s="30" t="str">
        <x:v>M06</x:v>
      </x:c>
      <x:c r="B185" s="30" t="str">
        <x:v>M06-F011</x:v>
      </x:c>
      <x:c r="C185" s="30" t="str">
        <x:v>P1</x:v>
      </x:c>
      <x:c r="D185" s="30" t="str">
        <x:v>KEEP</x:v>
      </x:c>
      <x:c r="E185" s="30" t="str">
        <x:v>T-WP12</x:v>
      </x:c>
      <x:c r="F185" s="30" t="str">
        <x:v>Thắng</x:v>
      </x:c>
      <x:c r="G185" s="30" t="str">
        <x:v>Màn hình kết quả rút gọn, nêu 3–5 lý do chính</x:v>
      </x:c>
      <x:c r="H185" s="30" t="str">
        <x:v>`T11-06`</x:v>
      </x:c>
      <x:c r="I185" s="30" t="str">
        <x:v>Thắng</x:v>
      </x:c>
      <x:c r="J185" s="30" t="str">
        <x:v>☐</x:v>
      </x:c>
      <x:c r="K185" s="30" t="str">
        <x:v>Chưa bắt đầu</x:v>
      </x:c>
      <x:c r="L185" s="40" t="n">
        <x:f>IF(J185="☑",1,IF(K185="Done",1,IF(K185="Đang làm",0.5,IF(K185="Blocked",0.25,0))))</x:f>
        <x:v>0</x:v>
      </x:c>
      <x:c r="M185" s="30" t="str"/>
      <x:c r="N185" s="30" t="str"/>
    </x:row>
    <x:row r="186">
      <x:c r="A186" s="30" t="str">
        <x:v>M06</x:v>
      </x:c>
      <x:c r="B186" s="30" t="str">
        <x:v>M06-F012</x:v>
      </x:c>
      <x:c r="C186" s="30" t="str">
        <x:v>P0</x:v>
      </x:c>
      <x:c r="D186" s="30" t="str">
        <x:v>KEEP</x:v>
      </x:c>
      <x:c r="E186" s="30" t="str">
        <x:v>T-WP12</x:v>
      </x:c>
      <x:c r="F186" s="30" t="str">
        <x:v>Thắng</x:v>
      </x:c>
      <x:c r="G186" s="30" t="str">
        <x:v>Component `RiskResultCard` dùng chung cho mọi loại kết quả quét</x:v>
      </x:c>
      <x:c r="H186" s="30" t="str">
        <x:v>`T12-01`</x:v>
      </x:c>
      <x:c r="I186" s="30" t="str">
        <x:v>Thắng</x:v>
      </x:c>
      <x:c r="J186" s="30" t="str">
        <x:v>☐</x:v>
      </x:c>
      <x:c r="K186" s="30" t="str">
        <x:v>Chưa bắt đầu</x:v>
      </x:c>
      <x:c r="L186" s="40" t="n">
        <x:f>IF(J186="☑",1,IF(K186="Done",1,IF(K186="Đang làm",0.5,IF(K186="Blocked",0.25,0))))</x:f>
        <x:v>0</x:v>
      </x:c>
      <x:c r="M186" s="30" t="str"/>
      <x:c r="N186" s="30" t="str"/>
    </x:row>
    <x:row r="187">
      <x:c r="A187" s="30" t="str">
        <x:v>M06</x:v>
      </x:c>
      <x:c r="B187" s="30" t="str">
        <x:v>M06-F013</x:v>
      </x:c>
      <x:c r="C187" s="30" t="str">
        <x:v>P0</x:v>
      </x:c>
      <x:c r="D187" s="30" t="str">
        <x:v>KEEP</x:v>
      </x:c>
      <x:c r="E187" s="30" t="str">
        <x:v>T-WP12</x:v>
      </x:c>
      <x:c r="F187" s="30" t="str">
        <x:v>Thắng</x:v>
      </x:c>
      <x:c r="G187" s="30" t="str">
        <x:v>Hiển thị nhất quán: điểm, mức, màu, biểu tượng, danh sách bằng chứng, khuyến nghị</x:v>
      </x:c>
      <x:c r="H187" s="30" t="str">
        <x:v>`T12-02`</x:v>
      </x:c>
      <x:c r="I187" s="30" t="str">
        <x:v>Thắng</x:v>
      </x:c>
      <x:c r="J187" s="30" t="str">
        <x:v>☐</x:v>
      </x:c>
      <x:c r="K187" s="30" t="str">
        <x:v>Chưa bắt đầu</x:v>
      </x:c>
      <x:c r="L187" s="40" t="n">
        <x:f>IF(J187="☑",1,IF(K187="Done",1,IF(K187="Đang làm",0.5,IF(K187="Blocked",0.25,0))))</x:f>
        <x:v>0</x:v>
      </x:c>
      <x:c r="M187" s="30" t="str"/>
      <x:c r="N187" s="30" t="str"/>
    </x:row>
    <x:row r="188">
      <x:c r="A188" s="30" t="str">
        <x:v>M06</x:v>
      </x:c>
      <x:c r="B188" s="30" t="str">
        <x:v>M06-F014</x:v>
      </x:c>
      <x:c r="C188" s="30" t="str">
        <x:v>P1</x:v>
      </x:c>
      <x:c r="D188" s="30" t="str">
        <x:v>KEEP</x:v>
      </x:c>
      <x:c r="E188" s="30" t="str">
        <x:v>T-WP12</x:v>
      </x:c>
      <x:c r="F188" s="30" t="str">
        <x:v>Thắng</x:v>
      </x:c>
      <x:c r="G188" s="30" t="str">
        <x:v>Thành phần hiển thị bằng chứng có thể mở rộng/thu gọn từng rule</x:v>
      </x:c>
      <x:c r="H188" s="30" t="str">
        <x:v>`T12-03`</x:v>
      </x:c>
      <x:c r="I188" s="30" t="str">
        <x:v>Thắng</x:v>
      </x:c>
      <x:c r="J188" s="30" t="str">
        <x:v>☐</x:v>
      </x:c>
      <x:c r="K188" s="30" t="str">
        <x:v>Chưa bắt đầu</x:v>
      </x:c>
      <x:c r="L188" s="40" t="n">
        <x:f>IF(J188="☑",1,IF(K188="Done",1,IF(K188="Đang làm",0.5,IF(K188="Blocked",0.25,0))))</x:f>
        <x:v>0</x:v>
      </x:c>
      <x:c r="M188" s="30" t="str"/>
      <x:c r="N188" s="30" t="str"/>
    </x:row>
    <x:row r="189">
      <x:c r="A189" s="30" t="str">
        <x:v>M06</x:v>
      </x:c>
      <x:c r="B189" s="30" t="str">
        <x:v>M06-F015</x:v>
      </x:c>
      <x:c r="C189" s="30" t="str">
        <x:v>P1</x:v>
      </x:c>
      <x:c r="D189" s="30" t="str">
        <x:v>KEEP</x:v>
      </x:c>
      <x:c r="E189" s="30" t="str">
        <x:v>T-WP13</x:v>
      </x:c>
      <x:c r="F189" s="30" t="str">
        <x:v>Thắng</x:v>
      </x:c>
      <x:c r="G189" s="30" t="str">
        <x:v>Chia sẻ kết quả quét qua link công khai có hạn, đã che dữ liệu nhạy cảm</x:v>
      </x:c>
      <x:c r="H189" s="30" t="str">
        <x:v>`T12-04`</x:v>
      </x:c>
      <x:c r="I189" s="30" t="str">
        <x:v>Thắng</x:v>
      </x:c>
      <x:c r="J189" s="30" t="str">
        <x:v>☐</x:v>
      </x:c>
      <x:c r="K189" s="30" t="str">
        <x:v>Chưa bắt đầu</x:v>
      </x:c>
      <x:c r="L189" s="40" t="n">
        <x:f>IF(J189="☑",1,IF(K189="Done",1,IF(K189="Đang làm",0.5,IF(K189="Blocked",0.25,0))))</x:f>
        <x:v>0</x:v>
      </x:c>
      <x:c r="M189" s="30" t="str"/>
      <x:c r="N189" s="30" t="str"/>
    </x:row>
    <x:row r="190">
      <x:c r="A190" s="30" t="str">
        <x:v>M06</x:v>
      </x:c>
      <x:c r="B190" s="30" t="str">
        <x:v>M06-F016</x:v>
      </x:c>
      <x:c r="C190" s="30" t="str">
        <x:v>P1</x:v>
      </x:c>
      <x:c r="D190" s="30" t="str">
        <x:v>KEEP</x:v>
      </x:c>
      <x:c r="E190" s="30" t="str">
        <x:v>T-WP14</x:v>
      </x:c>
      <x:c r="F190" s="30" t="str">
        <x:v>Thắng</x:v>
      </x:c>
      <x:c r="G190" s="30" t="str">
        <x:v>Xuất kết quả quét ra PDF (worker chạy bất đồng bộ)</x:v>
      </x:c>
      <x:c r="H190" s="30" t="str">
        <x:v>`T12-05`</x:v>
      </x:c>
      <x:c r="I190" s="30" t="str">
        <x:v>Thắng</x:v>
      </x:c>
      <x:c r="J190" s="30" t="str">
        <x:v>☐</x:v>
      </x:c>
      <x:c r="K190" s="30" t="str">
        <x:v>Chưa bắt đầu</x:v>
      </x:c>
      <x:c r="L190" s="40" t="n">
        <x:f>IF(J190="☑",1,IF(K190="Done",1,IF(K190="Đang làm",0.5,IF(K190="Blocked",0.25,0))))</x:f>
        <x:v>0</x:v>
      </x:c>
      <x:c r="M190" s="30" t="str"/>
      <x:c r="N190" s="30" t="str"/>
    </x:row>
    <x:row r="191">
      <x:c r="A191" s="30" t="str">
        <x:v>M06</x:v>
      </x:c>
      <x:c r="B191" s="30" t="str">
        <x:v>M06-F017</x:v>
      </x:c>
      <x:c r="C191" s="30" t="str">
        <x:v>P2</x:v>
      </x:c>
      <x:c r="D191" s="30" t="str">
        <x:v>KEEP</x:v>
      </x:c>
      <x:c r="E191" s="30" t="str">
        <x:v>T-WP13</x:v>
      </x:c>
      <x:c r="F191" s="30" t="str">
        <x:v>Thắng</x:v>
      </x:c>
      <x:c r="G191" s="30" t="str">
        <x:v>Sinh ảnh tóm tắt kết quả để chia sẻ lên mạng xã hội</x:v>
      </x:c>
      <x:c r="H191" s="30" t="str">
        <x:v>`T12-06`</x:v>
      </x:c>
      <x:c r="I191" s="30" t="str">
        <x:v>Thắng</x:v>
      </x:c>
      <x:c r="J191" s="30" t="str">
        <x:v>☐</x:v>
      </x:c>
      <x:c r="K191" s="30" t="str">
        <x:v>Chưa bắt đầu</x:v>
      </x:c>
      <x:c r="L191" s="40" t="n">
        <x:f>IF(J191="☑",1,IF(K191="Done",1,IF(K191="Đang làm",0.5,IF(K191="Blocked",0.25,0))))</x:f>
        <x:v>0</x:v>
      </x:c>
      <x:c r="M191" s="30" t="str"/>
      <x:c r="N191" s="30" t="str"/>
    </x:row>
    <x:row r="192">
      <x:c r="A192" s="30" t="str">
        <x:v>M06</x:v>
      </x:c>
      <x:c r="B192" s="30" t="str">
        <x:v>M06-F018</x:v>
      </x:c>
      <x:c r="C192" s="30" t="str">
        <x:v>P2</x:v>
      </x:c>
      <x:c r="D192" s="30" t="str">
        <x:v>KEEP</x:v>
      </x:c>
      <x:c r="E192" s="30" t="str">
        <x:v>T-WP13</x:v>
      </x:c>
      <x:c r="F192" s="30" t="str">
        <x:v>Thắng</x:v>
      </x:c>
      <x:c r="G192" s="30" t="str">
        <x:v>Nhúng widget tra cứu vào website khác</x:v>
      </x:c>
      <x:c r="H192" s="30" t="str">
        <x:v>`T12-07`</x:v>
      </x:c>
      <x:c r="I192" s="30" t="str">
        <x:v>Thắng</x:v>
      </x:c>
      <x:c r="J192" s="30" t="str">
        <x:v>☐</x:v>
      </x:c>
      <x:c r="K192" s="30" t="str">
        <x:v>Chưa bắt đầu</x:v>
      </x:c>
      <x:c r="L192" s="40" t="n">
        <x:f>IF(J192="☑",1,IF(K192="Done",1,IF(K192="Đang làm",0.5,IF(K192="Blocked",0.25,0))))</x:f>
        <x:v>0</x:v>
      </x:c>
      <x:c r="M192" s="30" t="str"/>
      <x:c r="N192" s="30" t="str"/>
    </x:row>
    <x:row r="193">
      <x:c r="A193" s="30" t="str">
        <x:v>M06</x:v>
      </x:c>
      <x:c r="B193" s="30" t="str">
        <x:v>M06-F019</x:v>
      </x:c>
      <x:c r="C193" s="30" t="str">
        <x:v>P2</x:v>
      </x:c>
      <x:c r="D193" s="30" t="str">
        <x:v>KEEP</x:v>
      </x:c>
      <x:c r="E193" s="30" t="str">
        <x:v>T-WP14</x:v>
      </x:c>
      <x:c r="F193" s="30" t="str">
        <x:v>Thắng</x:v>
      </x:c>
      <x:c r="G193" s="30" t="str">
        <x:v>Xuất báo cáo thống kê theo ngày/tuần/tháng cho admin</x:v>
      </x:c>
      <x:c r="H193" s="30" t="str">
        <x:v>`T12-08`</x:v>
      </x:c>
      <x:c r="I193" s="30" t="str">
        <x:v>Thắng</x:v>
      </x:c>
      <x:c r="J193" s="30" t="str">
        <x:v>☐</x:v>
      </x:c>
      <x:c r="K193" s="30" t="str">
        <x:v>Chưa bắt đầu</x:v>
      </x:c>
      <x:c r="L193" s="40" t="n">
        <x:f>IF(J193="☑",1,IF(K193="Done",1,IF(K193="Đang làm",0.5,IF(K193="Blocked",0.25,0))))</x:f>
        <x:v>0</x:v>
      </x:c>
      <x:c r="M193" s="30" t="str"/>
      <x:c r="N193" s="30" t="str"/>
    </x:row>
    <x:row r="194">
      <x:c r="A194" s="30" t="str">
        <x:v>M06</x:v>
      </x:c>
      <x:c r="B194" s="30" t="str">
        <x:v>M06-F020</x:v>
      </x:c>
      <x:c r="C194" s="30" t="str">
        <x:v>P0</x:v>
      </x:c>
      <x:c r="D194" s="30" t="str">
        <x:v>ADD</x:v>
      </x:c>
      <x:c r="E194" s="30" t="str">
        <x:v>T-WP12</x:v>
      </x:c>
      <x:c r="F194" s="30" t="str">
        <x:v>Thắng</x:v>
      </x:c>
      <x:c r="G194" s="30" t="str">
        <x:v>Dùng một `RiskResult` contract cho mọi scan type, gồm `riskScore`, `riskLevel`, `degraded`, evidence, explanations, recommendations, `policyVersion`.</x:v>
      </x:c>
      <x:c r="H194" s="30" t="str">
        <x:v>`ARCH-10 (Architecture V3.2)`</x:v>
      </x:c>
      <x:c r="I194" s="30" t="str">
        <x:v>—</x:v>
      </x:c>
      <x:c r="J194" s="30" t="str">
        <x:v>☐</x:v>
      </x:c>
      <x:c r="K194" s="30" t="str">
        <x:v>Chưa bắt đầu</x:v>
      </x:c>
      <x:c r="L194" s="40" t="n">
        <x:f>IF(J194="☑",1,IF(K194="Done",1,IF(K194="Đang làm",0.5,IF(K194="Blocked",0.25,0))))</x:f>
        <x:v>0</x:v>
      </x:c>
      <x:c r="M194" s="30" t="str"/>
      <x:c r="N194" s="30" t="str"/>
    </x:row>
    <x:row r="195">
      <x:c r="A195" s="30" t="str">
        <x:v>M06</x:v>
      </x:c>
      <x:c r="B195" s="30" t="str">
        <x:v>M06-F021</x:v>
      </x:c>
      <x:c r="C195" s="30" t="str">
        <x:v>P1</x:v>
      </x:c>
      <x:c r="D195" s="30" t="str">
        <x:v>ADD</x:v>
      </x:c>
      <x:c r="E195" s="30" t="str">
        <x:v>T-WP14</x:v>
      </x:c>
      <x:c r="F195" s="30" t="str">
        <x:v>Thắng</x:v>
      </x:c>
      <x:c r="G195" s="30" t="str">
        <x:v>Export PDF/HTML chạy bất đồng bộ qua `q.report.export` / `report.export.requested`, lưu artifact ở MinIO/S3 và không block core scan.</x:v>
      </x:c>
      <x:c r="H195" s="30" t="str">
        <x:v>`ARCH-11 (Architecture V3.2)`</x:v>
      </x:c>
      <x:c r="I195" s="30" t="str">
        <x:v>—</x:v>
      </x:c>
      <x:c r="J195" s="30" t="str">
        <x:v>☐</x:v>
      </x:c>
      <x:c r="K195" s="30" t="str">
        <x:v>Chưa bắt đầu</x:v>
      </x:c>
      <x:c r="L195" s="40" t="n">
        <x:f>IF(J195="☑",1,IF(K195="Done",1,IF(K195="Đang làm",0.5,IF(K195="Blocked",0.25,0))))</x:f>
        <x:v>0</x:v>
      </x:c>
      <x:c r="M195" s="30" t="str"/>
      <x:c r="N195" s="30" t="str"/>
    </x:row>
    <x:row r="196">
      <x:c r="A196" s="30" t="str">
        <x:v>M07</x:v>
      </x:c>
      <x:c r="B196" s="30" t="str">
        <x:v>M07-F001</x:v>
      </x:c>
      <x:c r="C196" s="30" t="str">
        <x:v>P0</x:v>
      </x:c>
      <x:c r="D196" s="30" t="str">
        <x:v>KEEP</x:v>
      </x:c>
      <x:c r="E196" s="30" t="str">
        <x:v>H-WP12</x:v>
      </x:c>
      <x:c r="F196" s="30" t="str">
        <x:v>Hùng</x:v>
      </x:c>
      <x:c r="G196" s="30" t="str">
        <x:v>`POST /v1/reports` với loại thực thể, giá trị, mô tả</x:v>
      </x:c>
      <x:c r="H196" s="30" t="str">
        <x:v>`T05-01`</x:v>
      </x:c>
      <x:c r="I196" s="30" t="str">
        <x:v>Thắng</x:v>
      </x:c>
      <x:c r="J196" s="30" t="str">
        <x:v>☐</x:v>
      </x:c>
      <x:c r="K196" s="30" t="str">
        <x:v>Chưa bắt đầu</x:v>
      </x:c>
      <x:c r="L196" s="40" t="n">
        <x:f>IF(J196="☑",1,IF(K196="Done",1,IF(K196="Đang làm",0.5,IF(K196="Blocked",0.25,0))))</x:f>
        <x:v>0</x:v>
      </x:c>
      <x:c r="M196" s="30" t="str"/>
      <x:c r="N196" s="30" t="str"/>
    </x:row>
    <x:row r="197">
      <x:c r="A197" s="30" t="str">
        <x:v>M07</x:v>
      </x:c>
      <x:c r="B197" s="30" t="str">
        <x:v>M07-F002</x:v>
      </x:c>
      <x:c r="C197" s="30" t="str">
        <x:v>P0</x:v>
      </x:c>
      <x:c r="D197" s="30" t="str">
        <x:v>KEEP</x:v>
      </x:c>
      <x:c r="E197" s="30" t="str">
        <x:v>H-WP12</x:v>
      </x:c>
      <x:c r="F197" s="30" t="str">
        <x:v>Hùng</x:v>
      </x:c>
      <x:c r="G197" s="30" t="str">
        <x:v>Rate limit 10 báo cáo / ngày / user</x:v>
      </x:c>
      <x:c r="H197" s="30" t="str">
        <x:v>`T05-02`</x:v>
      </x:c>
      <x:c r="I197" s="30" t="str">
        <x:v>Thắng</x:v>
      </x:c>
      <x:c r="J197" s="30" t="str">
        <x:v>☐</x:v>
      </x:c>
      <x:c r="K197" s="30" t="str">
        <x:v>Chưa bắt đầu</x:v>
      </x:c>
      <x:c r="L197" s="40" t="n">
        <x:f>IF(J197="☑",1,IF(K197="Done",1,IF(K197="Đang làm",0.5,IF(K197="Blocked",0.25,0))))</x:f>
        <x:v>0</x:v>
      </x:c>
      <x:c r="M197" s="30" t="str"/>
      <x:c r="N197" s="30" t="str"/>
    </x:row>
    <x:row r="198">
      <x:c r="A198" s="30" t="str">
        <x:v>M07</x:v>
      </x:c>
      <x:c r="B198" s="30" t="str">
        <x:v>M07-F003</x:v>
      </x:c>
      <x:c r="C198" s="30" t="str">
        <x:v>P0</x:v>
      </x:c>
      <x:c r="D198" s="30" t="str">
        <x:v>KEEP</x:v>
      </x:c>
      <x:c r="E198" s="30" t="str">
        <x:v>H-WP12</x:v>
      </x:c>
      <x:c r="F198" s="30" t="str">
        <x:v>Hùng</x:v>
      </x:c>
      <x:c r="G198" s="30" t="str">
        <x:v>Nút "Gửi báo cáo" ngay trong trang kết quả quét, điền sẵn dữ liệu</x:v>
      </x:c>
      <x:c r="H198" s="30" t="str">
        <x:v>`T05-03`</x:v>
      </x:c>
      <x:c r="I198" s="30" t="str">
        <x:v>Thắng</x:v>
      </x:c>
      <x:c r="J198" s="30" t="str">
        <x:v>☐</x:v>
      </x:c>
      <x:c r="K198" s="30" t="str">
        <x:v>Chưa bắt đầu</x:v>
      </x:c>
      <x:c r="L198" s="40" t="n">
        <x:f>IF(J198="☑",1,IF(K198="Done",1,IF(K198="Đang làm",0.5,IF(K198="Blocked",0.25,0))))</x:f>
        <x:v>0</x:v>
      </x:c>
      <x:c r="M198" s="30" t="str"/>
      <x:c r="N198" s="30" t="str"/>
    </x:row>
    <x:row r="199">
      <x:c r="A199" s="30" t="str">
        <x:v>M07</x:v>
      </x:c>
      <x:c r="B199" s="30" t="str">
        <x:v>M07-F004</x:v>
      </x:c>
      <x:c r="C199" s="30" t="str">
        <x:v>P1</x:v>
      </x:c>
      <x:c r="D199" s="30" t="str">
        <x:v>KEEP</x:v>
      </x:c>
      <x:c r="E199" s="30" t="str">
        <x:v>H-WP12</x:v>
      </x:c>
      <x:c r="F199" s="30" t="str">
        <x:v>Hùng</x:v>
      </x:c>
      <x:c r="G199" s="30" t="str">
        <x:v>Đính kèm file bằng chứng (ảnh chụp màn hình), giới hạn dung lượng và định dạng</x:v>
      </x:c>
      <x:c r="H199" s="30" t="str">
        <x:v>`T05-04`</x:v>
      </x:c>
      <x:c r="I199" s="30" t="str">
        <x:v>Thắng</x:v>
      </x:c>
      <x:c r="J199" s="30" t="str">
        <x:v>☐</x:v>
      </x:c>
      <x:c r="K199" s="30" t="str">
        <x:v>Chưa bắt đầu</x:v>
      </x:c>
      <x:c r="L199" s="40" t="n">
        <x:f>IF(J199="☑",1,IF(K199="Done",1,IF(K199="Đang làm",0.5,IF(K199="Blocked",0.25,0))))</x:f>
        <x:v>0</x:v>
      </x:c>
      <x:c r="M199" s="30" t="str"/>
      <x:c r="N199" s="30" t="str"/>
    </x:row>
    <x:row r="200">
      <x:c r="A200" s="30" t="str">
        <x:v>M07</x:v>
      </x:c>
      <x:c r="B200" s="30" t="str">
        <x:v>M07-F005</x:v>
      </x:c>
      <x:c r="C200" s="30" t="str">
        <x:v>P1</x:v>
      </x:c>
      <x:c r="D200" s="30" t="str">
        <x:v>KEEP</x:v>
      </x:c>
      <x:c r="E200" s="30" t="str">
        <x:v>H-WP12</x:v>
      </x:c>
      <x:c r="F200" s="30" t="str">
        <x:v>Hùng</x:v>
      </x:c>
      <x:c r="G200" s="30" t="str">
        <x:v>Chọn loại lừa đảo theo taxonomy (R03)</x:v>
      </x:c>
      <x:c r="H200" s="30" t="str">
        <x:v>`T05-05`</x:v>
      </x:c>
      <x:c r="I200" s="30" t="str">
        <x:v>Thắng</x:v>
      </x:c>
      <x:c r="J200" s="30" t="str">
        <x:v>☐</x:v>
      </x:c>
      <x:c r="K200" s="30" t="str">
        <x:v>Chưa bắt đầu</x:v>
      </x:c>
      <x:c r="L200" s="40" t="n">
        <x:f>IF(J200="☑",1,IF(K200="Done",1,IF(K200="Đang làm",0.5,IF(K200="Blocked",0.25,0))))</x:f>
        <x:v>0</x:v>
      </x:c>
      <x:c r="M200" s="30" t="str"/>
      <x:c r="N200" s="30" t="str"/>
    </x:row>
    <x:row r="201">
      <x:c r="A201" s="30" t="str">
        <x:v>M07</x:v>
      </x:c>
      <x:c r="B201" s="30" t="str">
        <x:v>M07-F006</x:v>
      </x:c>
      <x:c r="C201" s="30" t="str">
        <x:v>P1</x:v>
      </x:c>
      <x:c r="D201" s="30" t="str">
        <x:v>KEEP</x:v>
      </x:c>
      <x:c r="E201" s="30" t="str">
        <x:v>H-WP12</x:v>
      </x:c>
      <x:c r="F201" s="30" t="str">
        <x:v>Hùng</x:v>
      </x:c>
      <x:c r="G201" s="30" t="str">
        <x:v>Xem trạng thái các báo cáo mình đã gửi</x:v>
      </x:c>
      <x:c r="H201" s="30" t="str">
        <x:v>`T05-06`</x:v>
      </x:c>
      <x:c r="I201" s="30" t="str">
        <x:v>Thắng</x:v>
      </x:c>
      <x:c r="J201" s="30" t="str">
        <x:v>☐</x:v>
      </x:c>
      <x:c r="K201" s="30" t="str">
        <x:v>Chưa bắt đầu</x:v>
      </x:c>
      <x:c r="L201" s="40" t="n">
        <x:f>IF(J201="☑",1,IF(K201="Done",1,IF(K201="Đang làm",0.5,IF(K201="Blocked",0.25,0))))</x:f>
        <x:v>0</x:v>
      </x:c>
      <x:c r="M201" s="30" t="str"/>
      <x:c r="N201" s="30" t="str"/>
    </x:row>
    <x:row r="202">
      <x:c r="A202" s="30" t="str">
        <x:v>M07</x:v>
      </x:c>
      <x:c r="B202" s="30" t="str">
        <x:v>M07-F007</x:v>
      </x:c>
      <x:c r="C202" s="30" t="str">
        <x:v>P2</x:v>
      </x:c>
      <x:c r="D202" s="30" t="str">
        <x:v>KEEP</x:v>
      </x:c>
      <x:c r="E202" s="30" t="str">
        <x:v>H-WP12</x:v>
      </x:c>
      <x:c r="F202" s="30" t="str">
        <x:v>Hùng</x:v>
      </x:c>
      <x:c r="G202" s="30" t="str">
        <x:v>Báo cáo ẩn danh không cần đăng nhập, có CAPTCHA</x:v>
      </x:c>
      <x:c r="H202" s="30" t="str">
        <x:v>`T05-07`</x:v>
      </x:c>
      <x:c r="I202" s="30" t="str">
        <x:v>Thắng</x:v>
      </x:c>
      <x:c r="J202" s="30" t="str">
        <x:v>☐</x:v>
      </x:c>
      <x:c r="K202" s="30" t="str">
        <x:v>Chưa bắt đầu</x:v>
      </x:c>
      <x:c r="L202" s="40" t="n">
        <x:f>IF(J202="☑",1,IF(K202="Done",1,IF(K202="Đang làm",0.5,IF(K202="Blocked",0.25,0))))</x:f>
        <x:v>0</x:v>
      </x:c>
      <x:c r="M202" s="30" t="str"/>
      <x:c r="N202" s="30" t="str"/>
    </x:row>
    <x:row r="203">
      <x:c r="A203" s="30" t="str">
        <x:v>M07</x:v>
      </x:c>
      <x:c r="B203" s="30" t="str">
        <x:v>M07-F008</x:v>
      </x:c>
      <x:c r="C203" s="30" t="str">
        <x:v>P2</x:v>
      </x:c>
      <x:c r="D203" s="30" t="str">
        <x:v>KEEP</x:v>
      </x:c>
      <x:c r="E203" s="30" t="str">
        <x:v>H-WP12</x:v>
      </x:c>
      <x:c r="F203" s="30" t="str">
        <x:v>Hùng</x:v>
      </x:c>
      <x:c r="G203" s="30" t="str">
        <x:v>Cảnh báo trùng lặp khi entity đã được báo cáo</x:v>
      </x:c>
      <x:c r="H203" s="30" t="str">
        <x:v>`T05-08`</x:v>
      </x:c>
      <x:c r="I203" s="30" t="str">
        <x:v>Thắng</x:v>
      </x:c>
      <x:c r="J203" s="30" t="str">
        <x:v>☐</x:v>
      </x:c>
      <x:c r="K203" s="30" t="str">
        <x:v>Chưa bắt đầu</x:v>
      </x:c>
      <x:c r="L203" s="40" t="n">
        <x:f>IF(J203="☑",1,IF(K203="Done",1,IF(K203="Đang làm",0.5,IF(K203="Blocked",0.25,0))))</x:f>
        <x:v>0</x:v>
      </x:c>
      <x:c r="M203" s="30" t="str"/>
      <x:c r="N203" s="30" t="str"/>
    </x:row>
    <x:row r="204">
      <x:c r="A204" s="30" t="str">
        <x:v>M07</x:v>
      </x:c>
      <x:c r="B204" s="30" t="str">
        <x:v>M07-F009</x:v>
      </x:c>
      <x:c r="C204" s="30" t="str">
        <x:v>P0</x:v>
      </x:c>
      <x:c r="D204" s="30" t="str">
        <x:v>KEEP</x:v>
      </x:c>
      <x:c r="E204" s="30" t="str">
        <x:v>H-WP13</x:v>
      </x:c>
      <x:c r="F204" s="30" t="str">
        <x:v>Hùng</x:v>
      </x:c>
      <x:c r="G204" s="30" t="str">
        <x:v>Trạng thái báo cáo: `PENDING`, `UNDER_REVIEW`, `VERIFIED`, `REJECTED`, `NEED_MORE_INFO`, `RESOLVED`</x:v>
      </x:c>
      <x:c r="H204" s="30" t="str">
        <x:v>`T06-01`</x:v>
      </x:c>
      <x:c r="I204" s="30" t="str">
        <x:v>Thắng</x:v>
      </x:c>
      <x:c r="J204" s="30" t="str">
        <x:v>☐</x:v>
      </x:c>
      <x:c r="K204" s="30" t="str">
        <x:v>Chưa bắt đầu</x:v>
      </x:c>
      <x:c r="L204" s="40" t="n">
        <x:f>IF(J204="☑",1,IF(K204="Done",1,IF(K204="Đang làm",0.5,IF(K204="Blocked",0.25,0))))</x:f>
        <x:v>0</x:v>
      </x:c>
      <x:c r="M204" s="30" t="str"/>
      <x:c r="N204" s="30" t="str"/>
    </x:row>
    <x:row r="205">
      <x:c r="A205" s="30" t="str">
        <x:v>M07</x:v>
      </x:c>
      <x:c r="B205" s="30" t="str">
        <x:v>M07-F010</x:v>
      </x:c>
      <x:c r="C205" s="30" t="str">
        <x:v>P0</x:v>
      </x:c>
      <x:c r="D205" s="30" t="str">
        <x:v>KEEP</x:v>
      </x:c>
      <x:c r="E205" s="30" t="str">
        <x:v>H-WP13</x:v>
      </x:c>
      <x:c r="F205" s="30" t="str">
        <x:v>Hùng</x:v>
      </x:c>
      <x:c r="G205" s="30" t="str">
        <x:v>Hàng đợi duyệt cho admin, sắp xếp theo mức độ và thời gian</x:v>
      </x:c>
      <x:c r="H205" s="30" t="str">
        <x:v>`T06-02`</x:v>
      </x:c>
      <x:c r="I205" s="30" t="str">
        <x:v>Thắng</x:v>
      </x:c>
      <x:c r="J205" s="30" t="str">
        <x:v>☐</x:v>
      </x:c>
      <x:c r="K205" s="30" t="str">
        <x:v>Chưa bắt đầu</x:v>
      </x:c>
      <x:c r="L205" s="40" t="n">
        <x:f>IF(J205="☑",1,IF(K205="Done",1,IF(K205="Đang làm",0.5,IF(K205="Blocked",0.25,0))))</x:f>
        <x:v>0</x:v>
      </x:c>
      <x:c r="M205" s="30" t="str"/>
      <x:c r="N205" s="30" t="str"/>
    </x:row>
    <x:row r="206">
      <x:c r="A206" s="30" t="str">
        <x:v>M07</x:v>
      </x:c>
      <x:c r="B206" s="30" t="str">
        <x:v>M07-F011</x:v>
      </x:c>
      <x:c r="C206" s="30" t="str">
        <x:v>P0</x:v>
      </x:c>
      <x:c r="D206" s="30" t="str">
        <x:v>KEEP</x:v>
      </x:c>
      <x:c r="E206" s="30" t="str">
        <x:v>H-WP13</x:v>
      </x:c>
      <x:c r="F206" s="30" t="str">
        <x:v>Hùng</x:v>
      </x:c>
      <x:c r="G206" s="30" t="str">
        <x:v>Duyệt báo cáo → tạo/cập nhật `risk_entities`</x:v>
      </x:c>
      <x:c r="H206" s="30" t="str">
        <x:v>`T06-03`</x:v>
      </x:c>
      <x:c r="I206" s="30" t="str">
        <x:v>Thắng</x:v>
      </x:c>
      <x:c r="J206" s="30" t="str">
        <x:v>☐</x:v>
      </x:c>
      <x:c r="K206" s="30" t="str">
        <x:v>Chưa bắt đầu</x:v>
      </x:c>
      <x:c r="L206" s="40" t="n">
        <x:f>IF(J206="☑",1,IF(K206="Done",1,IF(K206="Đang làm",0.5,IF(K206="Blocked",0.25,0))))</x:f>
        <x:v>0</x:v>
      </x:c>
      <x:c r="M206" s="30" t="str"/>
      <x:c r="N206" s="30" t="str"/>
    </x:row>
    <x:row r="207">
      <x:c r="A207" s="30" t="str">
        <x:v>M07</x:v>
      </x:c>
      <x:c r="B207" s="30" t="str">
        <x:v>M07-F012</x:v>
      </x:c>
      <x:c r="C207" s="30" t="str">
        <x:v>P0</x:v>
      </x:c>
      <x:c r="D207" s="30" t="str">
        <x:v>KEEP</x:v>
      </x:c>
      <x:c r="E207" s="30" t="str">
        <x:v>H-WP13</x:v>
      </x:c>
      <x:c r="F207" s="30" t="str">
        <x:v>Hùng</x:v>
      </x:c>
      <x:c r="G207" s="30" t="str">
        <x:v>Ghi audit log mọi thao tác duyệt</x:v>
      </x:c>
      <x:c r="H207" s="30" t="str">
        <x:v>`T06-04`</x:v>
      </x:c>
      <x:c r="I207" s="30" t="str">
        <x:v>Thắng</x:v>
      </x:c>
      <x:c r="J207" s="30" t="str">
        <x:v>☐</x:v>
      </x:c>
      <x:c r="K207" s="30" t="str">
        <x:v>Chưa bắt đầu</x:v>
      </x:c>
      <x:c r="L207" s="40" t="n">
        <x:f>IF(J207="☑",1,IF(K207="Done",1,IF(K207="Đang làm",0.5,IF(K207="Blocked",0.25,0))))</x:f>
        <x:v>0</x:v>
      </x:c>
      <x:c r="M207" s="30" t="str"/>
      <x:c r="N207" s="30" t="str"/>
    </x:row>
    <x:row r="208">
      <x:c r="A208" s="30" t="str">
        <x:v>M07</x:v>
      </x:c>
      <x:c r="B208" s="30" t="str">
        <x:v>M07-F013</x:v>
      </x:c>
      <x:c r="C208" s="30" t="str">
        <x:v>P1</x:v>
      </x:c>
      <x:c r="D208" s="30" t="str">
        <x:v>KEEP</x:v>
      </x:c>
      <x:c r="E208" s="30" t="str">
        <x:v>H-WP13</x:v>
      </x:c>
      <x:c r="F208" s="30" t="str">
        <x:v>Hùng</x:v>
      </x:c>
      <x:c r="G208" s="30" t="str">
        <x:v>Xem chi tiết báo cáo kèm bằng chứng và kết quả quét liên quan</x:v>
      </x:c>
      <x:c r="H208" s="30" t="str">
        <x:v>`T06-05`</x:v>
      </x:c>
      <x:c r="I208" s="30" t="str">
        <x:v>Thắng</x:v>
      </x:c>
      <x:c r="J208" s="30" t="str">
        <x:v>☐</x:v>
      </x:c>
      <x:c r="K208" s="30" t="str">
        <x:v>Chưa bắt đầu</x:v>
      </x:c>
      <x:c r="L208" s="40" t="n">
        <x:f>IF(J208="☑",1,IF(K208="Done",1,IF(K208="Đang làm",0.5,IF(K208="Blocked",0.25,0))))</x:f>
        <x:v>0</x:v>
      </x:c>
      <x:c r="M208" s="30" t="str"/>
      <x:c r="N208" s="30" t="str"/>
    </x:row>
    <x:row r="209">
      <x:c r="A209" s="30" t="str">
        <x:v>M07</x:v>
      </x:c>
      <x:c r="B209" s="30" t="str">
        <x:v>M07-F014</x:v>
      </x:c>
      <x:c r="C209" s="30" t="str">
        <x:v>P1</x:v>
      </x:c>
      <x:c r="D209" s="30" t="str">
        <x:v>KEEP</x:v>
      </x:c>
      <x:c r="E209" s="30" t="str">
        <x:v>H-WP13</x:v>
      </x:c>
      <x:c r="F209" s="30" t="str">
        <x:v>Hùng</x:v>
      </x:c>
      <x:c r="G209" s="30" t="str">
        <x:v>Duyệt hàng loạt các báo cáo cùng một entity</x:v>
      </x:c>
      <x:c r="H209" s="30" t="str">
        <x:v>`T06-06`</x:v>
      </x:c>
      <x:c r="I209" s="30" t="str">
        <x:v>Thắng</x:v>
      </x:c>
      <x:c r="J209" s="30" t="str">
        <x:v>☐</x:v>
      </x:c>
      <x:c r="K209" s="30" t="str">
        <x:v>Chưa bắt đầu</x:v>
      </x:c>
      <x:c r="L209" s="40" t="n">
        <x:f>IF(J209="☑",1,IF(K209="Done",1,IF(K209="Đang làm",0.5,IF(K209="Blocked",0.25,0))))</x:f>
        <x:v>0</x:v>
      </x:c>
      <x:c r="M209" s="30" t="str"/>
      <x:c r="N209" s="30" t="str"/>
    </x:row>
    <x:row r="210">
      <x:c r="A210" s="30" t="str">
        <x:v>M07</x:v>
      </x:c>
      <x:c r="B210" s="30" t="str">
        <x:v>M07-F015</x:v>
      </x:c>
      <x:c r="C210" s="30" t="str">
        <x:v>P1</x:v>
      </x:c>
      <x:c r="D210" s="30" t="str">
        <x:v>KEEP</x:v>
      </x:c>
      <x:c r="E210" s="30" t="str">
        <x:v>H-WP13</x:v>
      </x:c>
      <x:c r="F210" s="30" t="str">
        <x:v>Hùng</x:v>
      </x:c>
      <x:c r="G210" s="30" t="str">
        <x:v>Ghi lý do khi từ chối, gửi thông báo cho người báo cáo</x:v>
      </x:c>
      <x:c r="H210" s="30" t="str">
        <x:v>`T06-07`</x:v>
      </x:c>
      <x:c r="I210" s="30" t="str">
        <x:v>Thắng</x:v>
      </x:c>
      <x:c r="J210" s="30" t="str">
        <x:v>☐</x:v>
      </x:c>
      <x:c r="K210" s="30" t="str">
        <x:v>Chưa bắt đầu</x:v>
      </x:c>
      <x:c r="L210" s="40" t="n">
        <x:f>IF(J210="☑",1,IF(K210="Done",1,IF(K210="Đang làm",0.5,IF(K210="Blocked",0.25,0))))</x:f>
        <x:v>0</x:v>
      </x:c>
      <x:c r="M210" s="30" t="str"/>
      <x:c r="N210" s="30" t="str"/>
    </x:row>
    <x:row r="211">
      <x:c r="A211" s="30" t="str">
        <x:v>M07</x:v>
      </x:c>
      <x:c r="B211" s="30" t="str">
        <x:v>M07-F016</x:v>
      </x:c>
      <x:c r="C211" s="30" t="str">
        <x:v>P2</x:v>
      </x:c>
      <x:c r="D211" s="30" t="str">
        <x:v>KEEP</x:v>
      </x:c>
      <x:c r="E211" s="30" t="str">
        <x:v>H-WP13</x:v>
      </x:c>
      <x:c r="F211" s="30" t="str">
        <x:v>Hùng</x:v>
      </x:c>
      <x:c r="G211" s="30" t="str">
        <x:v>Tự động ưu tiên báo cáo từ người có uy tín cao</x:v>
      </x:c>
      <x:c r="H211" s="30" t="str">
        <x:v>`T06-08`</x:v>
      </x:c>
      <x:c r="I211" s="30" t="str">
        <x:v>Thắng</x:v>
      </x:c>
      <x:c r="J211" s="30" t="str">
        <x:v>☐</x:v>
      </x:c>
      <x:c r="K211" s="30" t="str">
        <x:v>Chưa bắt đầu</x:v>
      </x:c>
      <x:c r="L211" s="40" t="n">
        <x:f>IF(J211="☑",1,IF(K211="Done",1,IF(K211="Đang làm",0.5,IF(K211="Blocked",0.25,0))))</x:f>
        <x:v>0</x:v>
      </x:c>
      <x:c r="M211" s="30" t="str"/>
      <x:c r="N211" s="30" t="str"/>
    </x:row>
    <x:row r="212">
      <x:c r="A212" s="30" t="str">
        <x:v>M07</x:v>
      </x:c>
      <x:c r="B212" s="30" t="str">
        <x:v>M07-F017</x:v>
      </x:c>
      <x:c r="C212" s="30" t="str">
        <x:v>P2</x:v>
      </x:c>
      <x:c r="D212" s="30" t="str">
        <x:v>KEEP</x:v>
      </x:c>
      <x:c r="E212" s="30" t="str">
        <x:v>H-WP13</x:v>
      </x:c>
      <x:c r="F212" s="30" t="str">
        <x:v>Hùng</x:v>
      </x:c>
      <x:c r="G212" s="30" t="str">
        <x:v>Phân công báo cáo cho từng moderator</x:v>
      </x:c>
      <x:c r="H212" s="30" t="str">
        <x:v>`T06-09`</x:v>
      </x:c>
      <x:c r="I212" s="30" t="str">
        <x:v>Thắng</x:v>
      </x:c>
      <x:c r="J212" s="30" t="str">
        <x:v>☐</x:v>
      </x:c>
      <x:c r="K212" s="30" t="str">
        <x:v>Chưa bắt đầu</x:v>
      </x:c>
      <x:c r="L212" s="40" t="n">
        <x:f>IF(J212="☑",1,IF(K212="Done",1,IF(K212="Đang làm",0.5,IF(K212="Blocked",0.25,0))))</x:f>
        <x:v>0</x:v>
      </x:c>
      <x:c r="M212" s="30" t="str"/>
      <x:c r="N212" s="30" t="str"/>
    </x:row>
    <x:row r="213">
      <x:c r="A213" s="30" t="str">
        <x:v>M07</x:v>
      </x:c>
      <x:c r="B213" s="30" t="str">
        <x:v>M07-F018</x:v>
      </x:c>
      <x:c r="C213" s="30" t="str">
        <x:v>P1</x:v>
      </x:c>
      <x:c r="D213" s="30" t="str">
        <x:v>KEEP</x:v>
      </x:c>
      <x:c r="E213" s="30" t="str">
        <x:v>H-WP14</x:v>
      </x:c>
      <x:c r="F213" s="30" t="str">
        <x:v>Hùng</x:v>
      </x:c>
      <x:c r="G213" s="30" t="str">
        <x:v>Tính điểm uy tín dựa trên tỷ lệ báo cáo được duyệt</x:v>
      </x:c>
      <x:c r="H213" s="30" t="str">
        <x:v>`T07-01`</x:v>
      </x:c>
      <x:c r="I213" s="30" t="str">
        <x:v>Thắng</x:v>
      </x:c>
      <x:c r="J213" s="30" t="str">
        <x:v>☐</x:v>
      </x:c>
      <x:c r="K213" s="30" t="str">
        <x:v>Chưa bắt đầu</x:v>
      </x:c>
      <x:c r="L213" s="40" t="n">
        <x:f>IF(J213="☑",1,IF(K213="Done",1,IF(K213="Đang làm",0.5,IF(K213="Blocked",0.25,0))))</x:f>
        <x:v>0</x:v>
      </x:c>
      <x:c r="M213" s="30" t="str"/>
      <x:c r="N213" s="30" t="str"/>
    </x:row>
    <x:row r="214">
      <x:c r="A214" s="30" t="str">
        <x:v>M07</x:v>
      </x:c>
      <x:c r="B214" s="30" t="str">
        <x:v>M07-F019</x:v>
      </x:c>
      <x:c r="C214" s="30" t="str">
        <x:v>P1</x:v>
      </x:c>
      <x:c r="D214" s="30" t="str">
        <x:v>KEEP</x:v>
      </x:c>
      <x:c r="E214" s="30" t="str">
        <x:v>H-WP14</x:v>
      </x:c>
      <x:c r="F214" s="30" t="str">
        <x:v>Hùng</x:v>
      </x:c>
      <x:c r="G214" s="30" t="str">
        <x:v>Hạ uy tín khi báo cáo bị từ chối nhiều lần</x:v>
      </x:c>
      <x:c r="H214" s="30" t="str">
        <x:v>`T07-02`</x:v>
      </x:c>
      <x:c r="I214" s="30" t="str">
        <x:v>Thắng</x:v>
      </x:c>
      <x:c r="J214" s="30" t="str">
        <x:v>☐</x:v>
      </x:c>
      <x:c r="K214" s="30" t="str">
        <x:v>Chưa bắt đầu</x:v>
      </x:c>
      <x:c r="L214" s="40" t="n">
        <x:f>IF(J214="☑",1,IF(K214="Done",1,IF(K214="Đang làm",0.5,IF(K214="Blocked",0.25,0))))</x:f>
        <x:v>0</x:v>
      </x:c>
      <x:c r="M214" s="30" t="str"/>
      <x:c r="N214" s="30" t="str"/>
    </x:row>
    <x:row r="215">
      <x:c r="A215" s="30" t="str">
        <x:v>M07</x:v>
      </x:c>
      <x:c r="B215" s="30" t="str">
        <x:v>M07-F020</x:v>
      </x:c>
      <x:c r="C215" s="30" t="str">
        <x:v>P1</x:v>
      </x:c>
      <x:c r="D215" s="30" t="str">
        <x:v>KEEP</x:v>
      </x:c>
      <x:c r="E215" s="30" t="str">
        <x:v>H-WP14</x:v>
      </x:c>
      <x:c r="F215" s="30" t="str">
        <x:v>Hùng</x:v>
      </x:c>
      <x:c r="G215" s="30" t="str">
        <x:v>Phát hiện báo cáo trùng lặp và báo cáo hàng loạt bất thường</x:v>
      </x:c>
      <x:c r="H215" s="30" t="str">
        <x:v>`T07-03`</x:v>
      </x:c>
      <x:c r="I215" s="30" t="str">
        <x:v>Thắng</x:v>
      </x:c>
      <x:c r="J215" s="30" t="str">
        <x:v>☐</x:v>
      </x:c>
      <x:c r="K215" s="30" t="str">
        <x:v>Chưa bắt đầu</x:v>
      </x:c>
      <x:c r="L215" s="40" t="n">
        <x:f>IF(J215="☑",1,IF(K215="Done",1,IF(K215="Đang làm",0.5,IF(K215="Blocked",0.25,0))))</x:f>
        <x:v>0</x:v>
      </x:c>
      <x:c r="M215" s="30" t="str"/>
      <x:c r="N215" s="30" t="str"/>
    </x:row>
    <x:row r="216">
      <x:c r="A216" s="30" t="str">
        <x:v>M07</x:v>
      </x:c>
      <x:c r="B216" s="30" t="str">
        <x:v>M07-F021</x:v>
      </x:c>
      <x:c r="C216" s="30" t="str">
        <x:v>P2</x:v>
      </x:c>
      <x:c r="D216" s="30" t="str">
        <x:v>KEEP</x:v>
      </x:c>
      <x:c r="E216" s="30" t="str">
        <x:v>H-WP14</x:v>
      </x:c>
      <x:c r="F216" s="30" t="str">
        <x:v>Hùng</x:v>
      </x:c>
      <x:c r="G216" s="30" t="str">
        <x:v>Người uy tín cao được duyệt nhanh hoặc tự động duyệt</x:v>
      </x:c>
      <x:c r="H216" s="30" t="str">
        <x:v>`T07-04`</x:v>
      </x:c>
      <x:c r="I216" s="30" t="str">
        <x:v>Thắng</x:v>
      </x:c>
      <x:c r="J216" s="30" t="str">
        <x:v>☐</x:v>
      </x:c>
      <x:c r="K216" s="30" t="str">
        <x:v>Chưa bắt đầu</x:v>
      </x:c>
      <x:c r="L216" s="40" t="n">
        <x:f>IF(J216="☑",1,IF(K216="Done",1,IF(K216="Đang làm",0.5,IF(K216="Blocked",0.25,0))))</x:f>
        <x:v>0</x:v>
      </x:c>
      <x:c r="M216" s="30" t="str"/>
      <x:c r="N216" s="30" t="str"/>
    </x:row>
    <x:row r="217">
      <x:c r="A217" s="30" t="str">
        <x:v>M07</x:v>
      </x:c>
      <x:c r="B217" s="30" t="str">
        <x:v>M07-F022</x:v>
      </x:c>
      <x:c r="C217" s="30" t="str">
        <x:v>P2</x:v>
      </x:c>
      <x:c r="D217" s="30" t="str">
        <x:v>KEEP</x:v>
      </x:c>
      <x:c r="E217" s="30" t="str">
        <x:v>H-WP14</x:v>
      </x:c>
      <x:c r="F217" s="30" t="str">
        <x:v>Hùng</x:v>
      </x:c>
      <x:c r="G217" s="30" t="str">
        <x:v>Tạm khoá quyền báo cáo khi uy tín xuống dưới ngưỡng</x:v>
      </x:c>
      <x:c r="H217" s="30" t="str">
        <x:v>`T07-05`</x:v>
      </x:c>
      <x:c r="I217" s="30" t="str">
        <x:v>Thắng</x:v>
      </x:c>
      <x:c r="J217" s="30" t="str">
        <x:v>☐</x:v>
      </x:c>
      <x:c r="K217" s="30" t="str">
        <x:v>Chưa bắt đầu</x:v>
      </x:c>
      <x:c r="L217" s="40" t="n">
        <x:f>IF(J217="☑",1,IF(K217="Done",1,IF(K217="Đang làm",0.5,IF(K217="Blocked",0.25,0))))</x:f>
        <x:v>0</x:v>
      </x:c>
      <x:c r="M217" s="30" t="str"/>
      <x:c r="N217" s="30" t="str"/>
    </x:row>
    <x:row r="218">
      <x:c r="A218" s="30" t="str">
        <x:v>M07</x:v>
      </x:c>
      <x:c r="B218" s="30" t="str">
        <x:v>M07-F023</x:v>
      </x:c>
      <x:c r="C218" s="30" t="str">
        <x:v>P2</x:v>
      </x:c>
      <x:c r="D218" s="30" t="str">
        <x:v>KEEP</x:v>
      </x:c>
      <x:c r="E218" s="30" t="str">
        <x:v>H-WP14</x:v>
      </x:c>
      <x:c r="F218" s="30" t="str">
        <x:v>Hùng</x:v>
      </x:c>
      <x:c r="G218" s="30" t="str">
        <x:v>Huy hiệu người đóng góp tích cực</x:v>
      </x:c>
      <x:c r="H218" s="30" t="str">
        <x:v>`T07-06`</x:v>
      </x:c>
      <x:c r="I218" s="30" t="str">
        <x:v>Thắng</x:v>
      </x:c>
      <x:c r="J218" s="30" t="str">
        <x:v>☐</x:v>
      </x:c>
      <x:c r="K218" s="30" t="str">
        <x:v>Chưa bắt đầu</x:v>
      </x:c>
      <x:c r="L218" s="40" t="n">
        <x:f>IF(J218="☑",1,IF(K218="Done",1,IF(K218="Đang làm",0.5,IF(K218="Blocked",0.25,0))))</x:f>
        <x:v>0</x:v>
      </x:c>
      <x:c r="M218" s="30" t="str"/>
      <x:c r="N218" s="30" t="str"/>
    </x:row>
    <x:row r="219">
      <x:c r="A219" s="30" t="str">
        <x:v>M07</x:v>
      </x:c>
      <x:c r="B219" s="30" t="str">
        <x:v>M07-F024</x:v>
      </x:c>
      <x:c r="C219" s="30" t="str">
        <x:v>P2</x:v>
      </x:c>
      <x:c r="D219" s="30" t="str">
        <x:v>KEEP</x:v>
      </x:c>
      <x:c r="E219" s="30" t="str">
        <x:v>H-WP14</x:v>
      </x:c>
      <x:c r="F219" s="30" t="str">
        <x:v>Hùng</x:v>
      </x:c>
      <x:c r="G219" s="30" t="str">
        <x:v>Phát hiện nhóm tài khoản phối hợp báo cáo sai sự thật</x:v>
      </x:c>
      <x:c r="H219" s="30" t="str">
        <x:v>`T07-07`</x:v>
      </x:c>
      <x:c r="I219" s="30" t="str">
        <x:v>Thắng</x:v>
      </x:c>
      <x:c r="J219" s="30" t="str">
        <x:v>☐</x:v>
      </x:c>
      <x:c r="K219" s="30" t="str">
        <x:v>Chưa bắt đầu</x:v>
      </x:c>
      <x:c r="L219" s="40" t="n">
        <x:f>IF(J219="☑",1,IF(K219="Done",1,IF(K219="Đang làm",0.5,IF(K219="Blocked",0.25,0))))</x:f>
        <x:v>0</x:v>
      </x:c>
      <x:c r="M219" s="30" t="str"/>
      <x:c r="N219" s="30" t="str"/>
    </x:row>
    <x:row r="220">
      <x:c r="A220" s="30" t="str">
        <x:v>M07</x:v>
      </x:c>
      <x:c r="B220" s="30" t="str">
        <x:v>M07-F025</x:v>
      </x:c>
      <x:c r="C220" s="30" t="str">
        <x:v>P0</x:v>
      </x:c>
      <x:c r="D220" s="30" t="str">
        <x:v>ADD</x:v>
      </x:c>
      <x:c r="E220" s="30" t="str">
        <x:v>H-WP15</x:v>
      </x:c>
      <x:c r="F220" s="30" t="str">
        <x:v>Hùng</x:v>
      </x:c>
      <x:c r="G220" s="30" t="str">
        <x:v>Community Report lifecycle thống nhất `PENDING -&gt; UNDER_REVIEW -&gt; VERIFIED \| REJECTED`; review phải trace reviewer/time/reason.</x:v>
      </x:c>
      <x:c r="H220" s="30" t="str">
        <x:v>`ARCH-12 (Architecture V3.2)`</x:v>
      </x:c>
      <x:c r="I220" s="30" t="str">
        <x:v>—</x:v>
      </x:c>
      <x:c r="J220" s="30" t="str">
        <x:v>☐</x:v>
      </x:c>
      <x:c r="K220" s="30" t="str">
        <x:v>Chưa bắt đầu</x:v>
      </x:c>
      <x:c r="L220" s="40" t="n">
        <x:f>IF(J220="☑",1,IF(K220="Done",1,IF(K220="Đang làm",0.5,IF(K220="Blocked",0.25,0))))</x:f>
        <x:v>0</x:v>
      </x:c>
      <x:c r="M220" s="30" t="str"/>
      <x:c r="N220" s="30" t="str"/>
    </x:row>
    <x:row r="221">
      <x:c r="A221" s="30" t="str">
        <x:v>M07</x:v>
      </x:c>
      <x:c r="B221" s="30" t="str">
        <x:v>M07-F026</x:v>
      </x:c>
      <x:c r="C221" s="30" t="str">
        <x:v>P0</x:v>
      </x:c>
      <x:c r="D221" s="30" t="str">
        <x:v>ADD</x:v>
      </x:c>
      <x:c r="E221" s="30" t="str">
        <x:v>H-WP15</x:v>
      </x:c>
      <x:c r="F221" s="30" t="str">
        <x:v>Hùng</x:v>
      </x:c>
      <x:c r="G221" s="30" t="str">
        <x:v>Chỉ report `VERIFIED` đủ trust/policy mới được chuyển thành reputation/threat signal; unverified report không tạo hard blacklist.</x:v>
      </x:c>
      <x:c r="H221" s="30" t="str">
        <x:v>`ARCH-13 (Architecture V3.2)`</x:v>
      </x:c>
      <x:c r="I221" s="30" t="str">
        <x:v>—</x:v>
      </x:c>
      <x:c r="J221" s="30" t="str">
        <x:v>☐</x:v>
      </x:c>
      <x:c r="K221" s="30" t="str">
        <x:v>Chưa bắt đầu</x:v>
      </x:c>
      <x:c r="L221" s="40" t="n">
        <x:f>IF(J221="☑",1,IF(K221="Done",1,IF(K221="Đang làm",0.5,IF(K221="Blocked",0.25,0))))</x:f>
        <x:v>0</x:v>
      </x:c>
      <x:c r="M221" s="30" t="str"/>
      <x:c r="N221" s="30" t="str"/>
    </x:row>
    <x:row r="222">
      <x:c r="A222" s="30" t="str">
        <x:v>M08</x:v>
      </x:c>
      <x:c r="B222" s="30" t="str">
        <x:v>M08-F001</x:v>
      </x:c>
      <x:c r="C222" s="30" t="str">
        <x:v>P1</x:v>
      </x:c>
      <x:c r="D222" s="30" t="str">
        <x:v>KEEP</x:v>
      </x:c>
      <x:c r="E222" s="30" t="str">
        <x:v>I-WP01</x:v>
      </x:c>
      <x:c r="F222" s="30" t="str">
        <x:v>Kiên</x:v>
      </x:c>
      <x:c r="G222" s="30" t="str">
        <x:v>Nhập danh sách đen từ file CSV/JSON</x:v>
      </x:c>
      <x:c r="H222" s="30" t="str">
        <x:v>`K07-01`</x:v>
      </x:c>
      <x:c r="I222" s="30" t="str">
        <x:v>Khải</x:v>
      </x:c>
      <x:c r="J222" s="30" t="str">
        <x:v>☐</x:v>
      </x:c>
      <x:c r="K222" s="30" t="str">
        <x:v>Chưa bắt đầu</x:v>
      </x:c>
      <x:c r="L222" s="40" t="n">
        <x:f>IF(J222="☑",1,IF(K222="Done",1,IF(K222="Đang làm",0.5,IF(K222="Blocked",0.25,0))))</x:f>
        <x:v>0</x:v>
      </x:c>
      <x:c r="M222" s="30" t="str"/>
      <x:c r="N222" s="30" t="str"/>
    </x:row>
    <x:row r="223">
      <x:c r="A223" s="30" t="str">
        <x:v>M08</x:v>
      </x:c>
      <x:c r="B223" s="30" t="str">
        <x:v>M08-F002</x:v>
      </x:c>
      <x:c r="C223" s="30" t="str">
        <x:v>P1</x:v>
      </x:c>
      <x:c r="D223" s="30" t="str">
        <x:v>KEEP</x:v>
      </x:c>
      <x:c r="E223" s="30" t="str">
        <x:v>I-WP01</x:v>
      </x:c>
      <x:c r="F223" s="30" t="str">
        <x:v>Kiên</x:v>
      </x:c>
      <x:c r="G223" s="30" t="str">
        <x:v>Tích hợp nguồn công khai (PhishTank, OpenPhish, danh sách của ChongLuaDao)</x:v>
      </x:c>
      <x:c r="H223" s="30" t="str">
        <x:v>`K07-02`</x:v>
      </x:c>
      <x:c r="I223" s="30" t="str">
        <x:v>Khải</x:v>
      </x:c>
      <x:c r="J223" s="30" t="str">
        <x:v>☐</x:v>
      </x:c>
      <x:c r="K223" s="30" t="str">
        <x:v>Chưa bắt đầu</x:v>
      </x:c>
      <x:c r="L223" s="40" t="n">
        <x:f>IF(J223="☑",1,IF(K223="Done",1,IF(K223="Đang làm",0.5,IF(K223="Blocked",0.25,0))))</x:f>
        <x:v>0</x:v>
      </x:c>
      <x:c r="M223" s="30" t="str"/>
      <x:c r="N223" s="30" t="str"/>
    </x:row>
    <x:row r="224">
      <x:c r="A224" s="30" t="str">
        <x:v>M08</x:v>
      </x:c>
      <x:c r="B224" s="30" t="str">
        <x:v>M08-F003</x:v>
      </x:c>
      <x:c r="C224" s="30" t="str">
        <x:v>P1</x:v>
      </x:c>
      <x:c r="D224" s="30" t="str">
        <x:v>KEEP</x:v>
      </x:c>
      <x:c r="E224" s="30" t="str">
        <x:v>I-WP01</x:v>
      </x:c>
      <x:c r="F224" s="30" t="str">
        <x:v>Kiên</x:v>
      </x:c>
      <x:c r="G224" s="30" t="str">
        <x:v>Lập lịch cập nhật định kỳ, ghi phiên bản dataset vào `risk_sources`</x:v>
      </x:c>
      <x:c r="H224" s="30" t="str">
        <x:v>`K07-03`</x:v>
      </x:c>
      <x:c r="I224" s="30" t="str">
        <x:v>Khải</x:v>
      </x:c>
      <x:c r="J224" s="30" t="str">
        <x:v>☐</x:v>
      </x:c>
      <x:c r="K224" s="30" t="str">
        <x:v>Chưa bắt đầu</x:v>
      </x:c>
      <x:c r="L224" s="40" t="n">
        <x:f>IF(J224="☑",1,IF(K224="Done",1,IF(K224="Đang làm",0.5,IF(K224="Blocked",0.25,0))))</x:f>
        <x:v>0</x:v>
      </x:c>
      <x:c r="M224" s="30" t="str"/>
      <x:c r="N224" s="30" t="str"/>
    </x:row>
    <x:row r="225">
      <x:c r="A225" s="30" t="str">
        <x:v>M08</x:v>
      </x:c>
      <x:c r="B225" s="30" t="str">
        <x:v>M08-F004</x:v>
      </x:c>
      <x:c r="C225" s="30" t="str">
        <x:v>P1</x:v>
      </x:c>
      <x:c r="D225" s="30" t="str">
        <x:v>KEEP</x:v>
      </x:c>
      <x:c r="E225" s="30" t="str">
        <x:v>I-WP01</x:v>
      </x:c>
      <x:c r="F225" s="30" t="str">
        <x:v>Kiên</x:v>
      </x:c>
      <x:c r="G225" s="30" t="str">
        <x:v>Khử trùng lặp và hợp nhất khi nhiều nguồn cùng báo một tên miền</x:v>
      </x:c>
      <x:c r="H225" s="30" t="str">
        <x:v>`K07-04`</x:v>
      </x:c>
      <x:c r="I225" s="30" t="str">
        <x:v>Khải</x:v>
      </x:c>
      <x:c r="J225" s="30" t="str">
        <x:v>☐</x:v>
      </x:c>
      <x:c r="K225" s="30" t="str">
        <x:v>Chưa bắt đầu</x:v>
      </x:c>
      <x:c r="L225" s="40" t="n">
        <x:f>IF(J225="☑",1,IF(K225="Done",1,IF(K225="Đang làm",0.5,IF(K225="Blocked",0.25,0))))</x:f>
        <x:v>0</x:v>
      </x:c>
      <x:c r="M225" s="30" t="str"/>
      <x:c r="N225" s="30" t="str"/>
    </x:row>
    <x:row r="226">
      <x:c r="A226" s="30" t="str">
        <x:v>M08</x:v>
      </x:c>
      <x:c r="B226" s="30" t="str">
        <x:v>M08-F005</x:v>
      </x:c>
      <x:c r="C226" s="30" t="str">
        <x:v>P2</x:v>
      </x:c>
      <x:c r="D226" s="30" t="str">
        <x:v>KEEP</x:v>
      </x:c>
      <x:c r="E226" s="30" t="str">
        <x:v>I-WP01</x:v>
      </x:c>
      <x:c r="F226" s="30" t="str">
        <x:v>Kiên</x:v>
      </x:c>
      <x:c r="G226" s="30" t="str">
        <x:v>Ghi nguồn gốc và độ tin cậy cho từng bản ghi</x:v>
      </x:c>
      <x:c r="H226" s="30" t="str">
        <x:v>`K07-05`</x:v>
      </x:c>
      <x:c r="I226" s="30" t="str">
        <x:v>Khải</x:v>
      </x:c>
      <x:c r="J226" s="30" t="str">
        <x:v>☐</x:v>
      </x:c>
      <x:c r="K226" s="30" t="str">
        <x:v>Chưa bắt đầu</x:v>
      </x:c>
      <x:c r="L226" s="40" t="n">
        <x:f>IF(J226="☑",1,IF(K226="Done",1,IF(K226="Đang làm",0.5,IF(K226="Blocked",0.25,0))))</x:f>
        <x:v>0</x:v>
      </x:c>
      <x:c r="M226" s="30" t="str"/>
      <x:c r="N226" s="30" t="str"/>
    </x:row>
    <x:row r="227">
      <x:c r="A227" s="30" t="str">
        <x:v>M08</x:v>
      </x:c>
      <x:c r="B227" s="30" t="str">
        <x:v>M08-F006</x:v>
      </x:c>
      <x:c r="C227" s="30" t="str">
        <x:v>P2</x:v>
      </x:c>
      <x:c r="D227" s="30" t="str">
        <x:v>KEEP</x:v>
      </x:c>
      <x:c r="E227" s="30" t="str">
        <x:v>I-WP01</x:v>
      </x:c>
      <x:c r="F227" s="30" t="str">
        <x:v>Kiên</x:v>
      </x:c>
      <x:c r="G227" s="30" t="str">
        <x:v>Cho phép quay lại phiên bản dataset trước khi nạp sai</x:v>
      </x:c>
      <x:c r="H227" s="30" t="str">
        <x:v>`K07-06`</x:v>
      </x:c>
      <x:c r="I227" s="30" t="str">
        <x:v>Khải</x:v>
      </x:c>
      <x:c r="J227" s="30" t="str">
        <x:v>☐</x:v>
      </x:c>
      <x:c r="K227" s="30" t="str">
        <x:v>Chưa bắt đầu</x:v>
      </x:c>
      <x:c r="L227" s="40" t="n">
        <x:f>IF(J227="☑",1,IF(K227="Done",1,IF(K227="Đang làm",0.5,IF(K227="Blocked",0.25,0))))</x:f>
        <x:v>0</x:v>
      </x:c>
      <x:c r="M227" s="30" t="str"/>
      <x:c r="N227" s="30" t="str"/>
    </x:row>
    <x:row r="228">
      <x:c r="A228" s="30" t="str">
        <x:v>M08</x:v>
      </x:c>
      <x:c r="B228" s="30" t="str">
        <x:v>M08-F007</x:v>
      </x:c>
      <x:c r="C228" s="30" t="str">
        <x:v>P2</x:v>
      </x:c>
      <x:c r="D228" s="30" t="str">
        <x:v>KEEP</x:v>
      </x:c>
      <x:c r="E228" s="30" t="str">
        <x:v>I-WP01</x:v>
      </x:c>
      <x:c r="F228" s="30" t="str">
        <x:v>Kiên</x:v>
      </x:c>
      <x:c r="G228" s="30" t="str">
        <x:v>Xuất ngược danh sách của hệ thống cho cộng đồng dùng</x:v>
      </x:c>
      <x:c r="H228" s="30" t="str">
        <x:v>`K07-07`</x:v>
      </x:c>
      <x:c r="I228" s="30" t="str">
        <x:v>Khải</x:v>
      </x:c>
      <x:c r="J228" s="30" t="str">
        <x:v>☐</x:v>
      </x:c>
      <x:c r="K228" s="30" t="str">
        <x:v>Chưa bắt đầu</x:v>
      </x:c>
      <x:c r="L228" s="40" t="n">
        <x:f>IF(J228="☑",1,IF(K228="Done",1,IF(K228="Đang làm",0.5,IF(K228="Blocked",0.25,0))))</x:f>
        <x:v>0</x:v>
      </x:c>
      <x:c r="M228" s="30" t="str"/>
      <x:c r="N228" s="30" t="str"/>
    </x:row>
    <x:row r="229">
      <x:c r="A229" s="30" t="str">
        <x:v>M08</x:v>
      </x:c>
      <x:c r="B229" s="30" t="str">
        <x:v>M08-F008</x:v>
      </x:c>
      <x:c r="C229" s="30" t="str">
        <x:v>P0</x:v>
      </x:c>
      <x:c r="D229" s="30" t="str">
        <x:v>KEEP</x:v>
      </x:c>
      <x:c r="E229" s="30" t="str">
        <x:v>I-WP02</x:v>
      </x:c>
      <x:c r="F229" s="30" t="str">
        <x:v>Kiên</x:v>
      </x:c>
      <x:c r="G229" s="30" t="str">
        <x:v>Danh sách trắng tên miền tin cậy để giảm báo động giả</x:v>
      </x:c>
      <x:c r="H229" s="30" t="str">
        <x:v>`K08-01`</x:v>
      </x:c>
      <x:c r="I229" s="30" t="str">
        <x:v>Khải</x:v>
      </x:c>
      <x:c r="J229" s="30" t="str">
        <x:v>☐</x:v>
      </x:c>
      <x:c r="K229" s="30" t="str">
        <x:v>Chưa bắt đầu</x:v>
      </x:c>
      <x:c r="L229" s="40" t="n">
        <x:f>IF(J229="☑",1,IF(K229="Done",1,IF(K229="Đang làm",0.5,IF(K229="Blocked",0.25,0))))</x:f>
        <x:v>0</x:v>
      </x:c>
      <x:c r="M229" s="30" t="str"/>
      <x:c r="N229" s="30" t="str"/>
    </x:row>
    <x:row r="230">
      <x:c r="A230" s="30" t="str">
        <x:v>M08</x:v>
      </x:c>
      <x:c r="B230" s="30" t="str">
        <x:v>M08-F009</x:v>
      </x:c>
      <x:c r="C230" s="30" t="str">
        <x:v>P0</x:v>
      </x:c>
      <x:c r="D230" s="30" t="str">
        <x:v>KEEP</x:v>
      </x:c>
      <x:c r="E230" s="30" t="str">
        <x:v>I-WP02</x:v>
      </x:c>
      <x:c r="F230" s="30" t="str">
        <x:v>Kiên</x:v>
      </x:c>
      <x:c r="G230" s="30" t="str">
        <x:v>Danh sách đen tên miền đã xác minh là lừa đảo</x:v>
      </x:c>
      <x:c r="H230" s="30" t="str">
        <x:v>`K08-02`</x:v>
      </x:c>
      <x:c r="I230" s="30" t="str">
        <x:v>Khải</x:v>
      </x:c>
      <x:c r="J230" s="30" t="str">
        <x:v>☐</x:v>
      </x:c>
      <x:c r="K230" s="30" t="str">
        <x:v>Chưa bắt đầu</x:v>
      </x:c>
      <x:c r="L230" s="40" t="n">
        <x:f>IF(J230="☑",1,IF(K230="Done",1,IF(K230="Đang làm",0.5,IF(K230="Blocked",0.25,0))))</x:f>
        <x:v>0</x:v>
      </x:c>
      <x:c r="M230" s="30" t="str"/>
      <x:c r="N230" s="30" t="str"/>
    </x:row>
    <x:row r="231">
      <x:c r="A231" s="30" t="str">
        <x:v>M08</x:v>
      </x:c>
      <x:c r="B231" s="30" t="str">
        <x:v>M08-F010</x:v>
      </x:c>
      <x:c r="C231" s="30" t="str">
        <x:v>P1</x:v>
      </x:c>
      <x:c r="D231" s="30" t="str">
        <x:v>KEEP</x:v>
      </x:c>
      <x:c r="E231" s="30" t="str">
        <x:v>I-WP02</x:v>
      </x:c>
      <x:c r="F231" s="30" t="str">
        <x:v>Kiên</x:v>
      </x:c>
      <x:c r="G231" s="30" t="str">
        <x:v>Trang admin quản lý: thêm, sửa, xoá, tìm kiếm, phân trang</x:v>
      </x:c>
      <x:c r="H231" s="30" t="str">
        <x:v>`K08-03`</x:v>
      </x:c>
      <x:c r="I231" s="30" t="str">
        <x:v>Khải</x:v>
      </x:c>
      <x:c r="J231" s="30" t="str">
        <x:v>☐</x:v>
      </x:c>
      <x:c r="K231" s="30" t="str">
        <x:v>Chưa bắt đầu</x:v>
      </x:c>
      <x:c r="L231" s="40" t="n">
        <x:f>IF(J231="☑",1,IF(K231="Done",1,IF(K231="Đang làm",0.5,IF(K231="Blocked",0.25,0))))</x:f>
        <x:v>0</x:v>
      </x:c>
      <x:c r="M231" s="30" t="str"/>
      <x:c r="N231" s="30" t="str"/>
    </x:row>
    <x:row r="232">
      <x:c r="A232" s="30" t="str">
        <x:v>M08</x:v>
      </x:c>
      <x:c r="B232" s="30" t="str">
        <x:v>M08-F011</x:v>
      </x:c>
      <x:c r="C232" s="30" t="str">
        <x:v>P1</x:v>
      </x:c>
      <x:c r="D232" s="30" t="str">
        <x:v>KEEP</x:v>
      </x:c>
      <x:c r="E232" s="30" t="str">
        <x:v>I-WP02</x:v>
      </x:c>
      <x:c r="F232" s="30" t="str">
        <x:v>Kiên</x:v>
      </x:c>
      <x:c r="G232" s="30" t="str">
        <x:v>Nhập hàng loạt từ file, kèm xem trước trước khi áp dụng</x:v>
      </x:c>
      <x:c r="H232" s="30" t="str">
        <x:v>`K08-04`</x:v>
      </x:c>
      <x:c r="I232" s="30" t="str">
        <x:v>Khải</x:v>
      </x:c>
      <x:c r="J232" s="30" t="str">
        <x:v>☐</x:v>
      </x:c>
      <x:c r="K232" s="30" t="str">
        <x:v>Chưa bắt đầu</x:v>
      </x:c>
      <x:c r="L232" s="40" t="n">
        <x:f>IF(J232="☑",1,IF(K232="Done",1,IF(K232="Đang làm",0.5,IF(K232="Blocked",0.25,0))))</x:f>
        <x:v>0</x:v>
      </x:c>
      <x:c r="M232" s="30" t="str"/>
      <x:c r="N232" s="30" t="str"/>
    </x:row>
    <x:row r="233">
      <x:c r="A233" s="30" t="str">
        <x:v>M08</x:v>
      </x:c>
      <x:c r="B233" s="30" t="str">
        <x:v>M08-F012</x:v>
      </x:c>
      <x:c r="C233" s="30" t="str">
        <x:v>P1</x:v>
      </x:c>
      <x:c r="D233" s="30" t="str">
        <x:v>KEEP</x:v>
      </x:c>
      <x:c r="E233" s="30" t="str">
        <x:v>I-WP02</x:v>
      </x:c>
      <x:c r="F233" s="30" t="str">
        <x:v>Kiên</x:v>
      </x:c>
      <x:c r="G233" s="30" t="str">
        <x:v>Vô hiệu hoá cache Redis khi danh sách thay đổi</x:v>
      </x:c>
      <x:c r="H233" s="30" t="str">
        <x:v>`K08-05`</x:v>
      </x:c>
      <x:c r="I233" s="30" t="str">
        <x:v>Khải</x:v>
      </x:c>
      <x:c r="J233" s="30" t="str">
        <x:v>☐</x:v>
      </x:c>
      <x:c r="K233" s="30" t="str">
        <x:v>Chưa bắt đầu</x:v>
      </x:c>
      <x:c r="L233" s="40" t="n">
        <x:f>IF(J233="☑",1,IF(K233="Done",1,IF(K233="Đang làm",0.5,IF(K233="Blocked",0.25,0))))</x:f>
        <x:v>0</x:v>
      </x:c>
      <x:c r="M233" s="30" t="str"/>
      <x:c r="N233" s="30" t="str"/>
    </x:row>
    <x:row r="234">
      <x:c r="A234" s="30" t="str">
        <x:v>M08</x:v>
      </x:c>
      <x:c r="B234" s="30" t="str">
        <x:v>M08-F013</x:v>
      </x:c>
      <x:c r="C234" s="30" t="str">
        <x:v>P1</x:v>
      </x:c>
      <x:c r="D234" s="30" t="str">
        <x:v>KEEP</x:v>
      </x:c>
      <x:c r="E234" s="30" t="str">
        <x:v>I-WP02</x:v>
      </x:c>
      <x:c r="F234" s="30" t="str">
        <x:v>Kiên</x:v>
      </x:c>
      <x:c r="G234" s="30" t="str">
        <x:v>Ghi audit log mọi thay đổi danh sách</x:v>
      </x:c>
      <x:c r="H234" s="30" t="str">
        <x:v>`K08-06`</x:v>
      </x:c>
      <x:c r="I234" s="30" t="str">
        <x:v>Khải</x:v>
      </x:c>
      <x:c r="J234" s="30" t="str">
        <x:v>☐</x:v>
      </x:c>
      <x:c r="K234" s="30" t="str">
        <x:v>Chưa bắt đầu</x:v>
      </x:c>
      <x:c r="L234" s="40" t="n">
        <x:f>IF(J234="☑",1,IF(K234="Done",1,IF(K234="Đang làm",0.5,IF(K234="Blocked",0.25,0))))</x:f>
        <x:v>0</x:v>
      </x:c>
      <x:c r="M234" s="30" t="str"/>
      <x:c r="N234" s="30" t="str"/>
    </x:row>
    <x:row r="235">
      <x:c r="A235" s="30" t="str">
        <x:v>M08</x:v>
      </x:c>
      <x:c r="B235" s="30" t="str">
        <x:v>M08-F014</x:v>
      </x:c>
      <x:c r="C235" s="30" t="str">
        <x:v>P2</x:v>
      </x:c>
      <x:c r="D235" s="30" t="str">
        <x:v>KEEP</x:v>
      </x:c>
      <x:c r="E235" s="30" t="str">
        <x:v>I-WP02</x:v>
      </x:c>
      <x:c r="F235" s="30" t="str">
        <x:v>Kiên</x:v>
      </x:c>
      <x:c r="G235" s="30" t="str">
        <x:v>Đặt hạn hiệu lực cho từng bản ghi</x:v>
      </x:c>
      <x:c r="H235" s="30" t="str">
        <x:v>`K08-07`</x:v>
      </x:c>
      <x:c r="I235" s="30" t="str">
        <x:v>Khải</x:v>
      </x:c>
      <x:c r="J235" s="30" t="str">
        <x:v>☐</x:v>
      </x:c>
      <x:c r="K235" s="30" t="str">
        <x:v>Chưa bắt đầu</x:v>
      </x:c>
      <x:c r="L235" s="40" t="n">
        <x:f>IF(J235="☑",1,IF(K235="Done",1,IF(K235="Đang làm",0.5,IF(K235="Blocked",0.25,0))))</x:f>
        <x:v>0</x:v>
      </x:c>
      <x:c r="M235" s="30" t="str"/>
      <x:c r="N235" s="30" t="str"/>
    </x:row>
    <x:row r="236">
      <x:c r="A236" s="30" t="str">
        <x:v>M08</x:v>
      </x:c>
      <x:c r="B236" s="30" t="str">
        <x:v>M08-F015</x:v>
      </x:c>
      <x:c r="C236" s="30" t="str">
        <x:v>P2</x:v>
      </x:c>
      <x:c r="D236" s="30" t="str">
        <x:v>KEEP</x:v>
      </x:c>
      <x:c r="E236" s="30" t="str">
        <x:v>I-WP02</x:v>
      </x:c>
      <x:c r="F236" s="30" t="str">
        <x:v>Kiên</x:v>
      </x:c>
      <x:c r="G236" s="30" t="str">
        <x:v>Quy trình khiếu nại gỡ khỏi danh sách đen</x:v>
      </x:c>
      <x:c r="H236" s="30" t="str">
        <x:v>`K08-08`</x:v>
      </x:c>
      <x:c r="I236" s="30" t="str">
        <x:v>Khải</x:v>
      </x:c>
      <x:c r="J236" s="30" t="str">
        <x:v>☐</x:v>
      </x:c>
      <x:c r="K236" s="30" t="str">
        <x:v>Chưa bắt đầu</x:v>
      </x:c>
      <x:c r="L236" s="40" t="n">
        <x:f>IF(J236="☑",1,IF(K236="Done",1,IF(K236="Đang làm",0.5,IF(K236="Blocked",0.25,0))))</x:f>
        <x:v>0</x:v>
      </x:c>
      <x:c r="M236" s="30" t="str"/>
      <x:c r="N236" s="30" t="str"/>
    </x:row>
    <x:row r="237">
      <x:c r="A237" s="30" t="str">
        <x:v>M08</x:v>
      </x:c>
      <x:c r="B237" s="30" t="str">
        <x:v>M08-F016</x:v>
      </x:c>
      <x:c r="C237" s="30" t="str">
        <x:v>P0</x:v>
      </x:c>
      <x:c r="D237" s="30" t="str">
        <x:v>KEEP</x:v>
      </x:c>
      <x:c r="E237" s="30" t="str">
        <x:v>I-WP03</x:v>
      </x:c>
      <x:c r="F237" s="30" t="str">
        <x:v>Kiên</x:v>
      </x:c>
      <x:c r="G237" s="30" t="str">
        <x:v>Bảng `risk_entities` cho tên miền, URL, số điện thoại, số tài khoản, từ khoá, thương hiệu</x:v>
      </x:c>
      <x:c r="H237" s="30" t="str">
        <x:v>`T04-01`</x:v>
      </x:c>
      <x:c r="I237" s="30" t="str">
        <x:v>Thắng</x:v>
      </x:c>
      <x:c r="J237" s="30" t="str">
        <x:v>☐</x:v>
      </x:c>
      <x:c r="K237" s="30" t="str">
        <x:v>Chưa bắt đầu</x:v>
      </x:c>
      <x:c r="L237" s="40" t="n">
        <x:f>IF(J237="☑",1,IF(K237="Done",1,IF(K237="Đang làm",0.5,IF(K237="Blocked",0.25,0))))</x:f>
        <x:v>0</x:v>
      </x:c>
      <x:c r="M237" s="30" t="str"/>
      <x:c r="N237" s="30" t="str"/>
    </x:row>
    <x:row r="238">
      <x:c r="A238" s="30" t="str">
        <x:v>M08</x:v>
      </x:c>
      <x:c r="B238" s="30" t="str">
        <x:v>M08-F017</x:v>
      </x:c>
      <x:c r="C238" s="30" t="str">
        <x:v>P0</x:v>
      </x:c>
      <x:c r="D238" s="30" t="str">
        <x:v>KEEP</x:v>
      </x:c>
      <x:c r="E238" s="30" t="str">
        <x:v>I-WP03</x:v>
      </x:c>
      <x:c r="F238" s="30" t="str">
        <x:v>Kiên</x:v>
      </x:c>
      <x:c r="G238" s="30" t="str">
        <x:v>Trạng thái: `SUSPECTED`, `VERIFIED`, `CLEARED`</x:v>
      </x:c>
      <x:c r="H238" s="30" t="str">
        <x:v>`T04-02`</x:v>
      </x:c>
      <x:c r="I238" s="30" t="str">
        <x:v>Thắng</x:v>
      </x:c>
      <x:c r="J238" s="30" t="str">
        <x:v>☐</x:v>
      </x:c>
      <x:c r="K238" s="30" t="str">
        <x:v>Chưa bắt đầu</x:v>
      </x:c>
      <x:c r="L238" s="40" t="n">
        <x:f>IF(J238="☑",1,IF(K238="Done",1,IF(K238="Đang làm",0.5,IF(K238="Blocked",0.25,0))))</x:f>
        <x:v>0</x:v>
      </x:c>
      <x:c r="M238" s="30" t="str"/>
      <x:c r="N238" s="30" t="str"/>
    </x:row>
    <x:row r="239">
      <x:c r="A239" s="30" t="str">
        <x:v>M08</x:v>
      </x:c>
      <x:c r="B239" s="30" t="str">
        <x:v>M08-F018</x:v>
      </x:c>
      <x:c r="C239" s="30" t="str">
        <x:v>P0</x:v>
      </x:c>
      <x:c r="D239" s="30" t="str">
        <x:v>KEEP</x:v>
      </x:c>
      <x:c r="E239" s="30" t="str">
        <x:v>I-WP03</x:v>
      </x:c>
      <x:c r="F239" s="30" t="str">
        <x:v>Kiên</x:v>
      </x:c>
      <x:c r="G239" s="30" t="str">
        <x:v>Tạo/cập nhật entity khi một báo cáo được duyệt</x:v>
      </x:c>
      <x:c r="H239" s="30" t="str">
        <x:v>`T04-03`</x:v>
      </x:c>
      <x:c r="I239" s="30" t="str">
        <x:v>Thắng</x:v>
      </x:c>
      <x:c r="J239" s="30" t="str">
        <x:v>☐</x:v>
      </x:c>
      <x:c r="K239" s="30" t="str">
        <x:v>Chưa bắt đầu</x:v>
      </x:c>
      <x:c r="L239" s="40" t="n">
        <x:f>IF(J239="☑",1,IF(K239="Done",1,IF(K239="Đang làm",0.5,IF(K239="Blocked",0.25,0))))</x:f>
        <x:v>0</x:v>
      </x:c>
      <x:c r="M239" s="30" t="str"/>
      <x:c r="N239" s="30" t="str"/>
    </x:row>
    <x:row r="240">
      <x:c r="A240" s="30" t="str">
        <x:v>M08</x:v>
      </x:c>
      <x:c r="B240" s="30" t="str">
        <x:v>M08-F019</x:v>
      </x:c>
      <x:c r="C240" s="30" t="str">
        <x:v>P1</x:v>
      </x:c>
      <x:c r="D240" s="30" t="str">
        <x:v>KEEP</x:v>
      </x:c>
      <x:c r="E240" s="30" t="str">
        <x:v>I-WP03</x:v>
      </x:c>
      <x:c r="F240" s="30" t="str">
        <x:v>Kiên</x:v>
      </x:c>
      <x:c r="G240" s="30" t="str">
        <x:v>Trang admin quản lý entity: tìm kiếm, lọc theo loại và trạng thái, phân trang</x:v>
      </x:c>
      <x:c r="H240" s="30" t="str">
        <x:v>`T04-04`</x:v>
      </x:c>
      <x:c r="I240" s="30" t="str">
        <x:v>Thắng</x:v>
      </x:c>
      <x:c r="J240" s="30" t="str">
        <x:v>☐</x:v>
      </x:c>
      <x:c r="K240" s="30" t="str">
        <x:v>Chưa bắt đầu</x:v>
      </x:c>
      <x:c r="L240" s="40" t="n">
        <x:f>IF(J240="☑",1,IF(K240="Done",1,IF(K240="Đang làm",0.5,IF(K240="Blocked",0.25,0))))</x:f>
        <x:v>0</x:v>
      </x:c>
      <x:c r="M240" s="30" t="str"/>
      <x:c r="N240" s="30" t="str"/>
    </x:row>
    <x:row r="241">
      <x:c r="A241" s="30" t="str">
        <x:v>M08</x:v>
      </x:c>
      <x:c r="B241" s="30" t="str">
        <x:v>M08-F020</x:v>
      </x:c>
      <x:c r="C241" s="30" t="str">
        <x:v>P1</x:v>
      </x:c>
      <x:c r="D241" s="30" t="str">
        <x:v>KEEP</x:v>
      </x:c>
      <x:c r="E241" s="30" t="str">
        <x:v>I-WP03</x:v>
      </x:c>
      <x:c r="F241" s="30" t="str">
        <x:v>Kiên</x:v>
      </x:c>
      <x:c r="G241" s="30" t="str">
        <x:v>Xem toàn bộ báo cáo dẫn tới một entity</x:v>
      </x:c>
      <x:c r="H241" s="30" t="str">
        <x:v>`T04-05`</x:v>
      </x:c>
      <x:c r="I241" s="30" t="str">
        <x:v>Thắng</x:v>
      </x:c>
      <x:c r="J241" s="30" t="str">
        <x:v>☐</x:v>
      </x:c>
      <x:c r="K241" s="30" t="str">
        <x:v>Chưa bắt đầu</x:v>
      </x:c>
      <x:c r="L241" s="40" t="n">
        <x:f>IF(J241="☑",1,IF(K241="Done",1,IF(K241="Đang làm",0.5,IF(K241="Blocked",0.25,0))))</x:f>
        <x:v>0</x:v>
      </x:c>
      <x:c r="M241" s="30" t="str"/>
      <x:c r="N241" s="30" t="str"/>
    </x:row>
    <x:row r="242">
      <x:c r="A242" s="30" t="str">
        <x:v>M08</x:v>
      </x:c>
      <x:c r="B242" s="30" t="str">
        <x:v>M08-F021</x:v>
      </x:c>
      <x:c r="C242" s="30" t="str">
        <x:v>P1</x:v>
      </x:c>
      <x:c r="D242" s="30" t="str">
        <x:v>KEEP</x:v>
      </x:c>
      <x:c r="E242" s="30" t="str">
        <x:v>I-WP03</x:v>
      </x:c>
      <x:c r="F242" s="30" t="str">
        <x:v>Kiên</x:v>
      </x:c>
      <x:c r="G242" s="30" t="str">
        <x:v>Gộp các entity trùng lặp</x:v>
      </x:c>
      <x:c r="H242" s="30" t="str">
        <x:v>`T04-06`</x:v>
      </x:c>
      <x:c r="I242" s="30" t="str">
        <x:v>Thắng</x:v>
      </x:c>
      <x:c r="J242" s="30" t="str">
        <x:v>☐</x:v>
      </x:c>
      <x:c r="K242" s="30" t="str">
        <x:v>Chưa bắt đầu</x:v>
      </x:c>
      <x:c r="L242" s="40" t="n">
        <x:f>IF(J242="☑",1,IF(K242="Done",1,IF(K242="Đang làm",0.5,IF(K242="Blocked",0.25,0))))</x:f>
        <x:v>0</x:v>
      </x:c>
      <x:c r="M242" s="30" t="str"/>
      <x:c r="N242" s="30" t="str"/>
    </x:row>
    <x:row r="243">
      <x:c r="A243" s="30" t="str">
        <x:v>M08</x:v>
      </x:c>
      <x:c r="B243" s="30" t="str">
        <x:v>M08-F022</x:v>
      </x:c>
      <x:c r="C243" s="30" t="str">
        <x:v>P2</x:v>
      </x:c>
      <x:c r="D243" s="30" t="str">
        <x:v>KEEP</x:v>
      </x:c>
      <x:c r="E243" s="30" t="str">
        <x:v>I-WP03</x:v>
      </x:c>
      <x:c r="F243" s="30" t="str">
        <x:v>Kiên</x:v>
      </x:c>
      <x:c r="G243" s="30" t="str">
        <x:v>Điểm tin cậy của entity dựa trên số nguồn độc lập xác nhận</x:v>
      </x:c>
      <x:c r="H243" s="30" t="str">
        <x:v>`T04-07`</x:v>
      </x:c>
      <x:c r="I243" s="30" t="str">
        <x:v>Thắng</x:v>
      </x:c>
      <x:c r="J243" s="30" t="str">
        <x:v>☐</x:v>
      </x:c>
      <x:c r="K243" s="30" t="str">
        <x:v>Chưa bắt đầu</x:v>
      </x:c>
      <x:c r="L243" s="40" t="n">
        <x:f>IF(J243="☑",1,IF(K243="Done",1,IF(K243="Đang làm",0.5,IF(K243="Blocked",0.25,0))))</x:f>
        <x:v>0</x:v>
      </x:c>
      <x:c r="M243" s="30" t="str"/>
      <x:c r="N243" s="30" t="str"/>
    </x:row>
    <x:row r="244">
      <x:c r="A244" s="30" t="str">
        <x:v>M08</x:v>
      </x:c>
      <x:c r="B244" s="30" t="str">
        <x:v>M08-F023</x:v>
      </x:c>
      <x:c r="C244" s="30" t="str">
        <x:v>P2</x:v>
      </x:c>
      <x:c r="D244" s="30" t="str">
        <x:v>KEEP</x:v>
      </x:c>
      <x:c r="E244" s="30" t="str">
        <x:v>I-WP03</x:v>
      </x:c>
      <x:c r="F244" s="30" t="str">
        <x:v>Kiên</x:v>
      </x:c>
      <x:c r="G244" s="30" t="str">
        <x:v>Tự động hạ trạng thái entity không còn báo cáo mới trong thời gian dài</x:v>
      </x:c>
      <x:c r="H244" s="30" t="str">
        <x:v>`T04-08`</x:v>
      </x:c>
      <x:c r="I244" s="30" t="str">
        <x:v>Thắng</x:v>
      </x:c>
      <x:c r="J244" s="30" t="str">
        <x:v>☐</x:v>
      </x:c>
      <x:c r="K244" s="30" t="str">
        <x:v>Chưa bắt đầu</x:v>
      </x:c>
      <x:c r="L244" s="40" t="n">
        <x:f>IF(J244="☑",1,IF(K244="Done",1,IF(K244="Đang làm",0.5,IF(K244="Blocked",0.25,0))))</x:f>
        <x:v>0</x:v>
      </x:c>
      <x:c r="M244" s="30" t="str"/>
      <x:c r="N244" s="30" t="str"/>
    </x:row>
    <x:row r="245">
      <x:c r="A245" s="30" t="str">
        <x:v>M08</x:v>
      </x:c>
      <x:c r="B245" s="30" t="str">
        <x:v>M08-F024</x:v>
      </x:c>
      <x:c r="C245" s="30" t="str">
        <x:v>P2</x:v>
      </x:c>
      <x:c r="D245" s="30" t="str">
        <x:v>FUTURE_SCOPE</x:v>
      </x:c>
      <x:c r="E245" s="30" t="str">
        <x:v>I-WP03</x:v>
      </x:c>
      <x:c r="F245" s="30" t="str">
        <x:v>Kiên</x:v>
      </x:c>
      <x:c r="G245" s="30" t="str">
        <x:v>Chế độ ngoại tuyến dùng danh sách đen tải sẵn</x:v>
      </x:c>
      <x:c r="H245" s="30" t="str">
        <x:v>`T11-09`</x:v>
      </x:c>
      <x:c r="I245" s="30" t="str">
        <x:v>Thắng</x:v>
      </x:c>
      <x:c r="J245" s="30" t="str">
        <x:v>☐</x:v>
      </x:c>
      <x:c r="K245" s="30" t="str">
        <x:v>Chưa bắt đầu</x:v>
      </x:c>
      <x:c r="L245" s="40" t="n">
        <x:f>IF(J245="☑",1,IF(K245="Done",1,IF(K245="Đang làm",0.5,IF(K245="Blocked",0.25,0))))</x:f>
        <x:v>0</x:v>
      </x:c>
      <x:c r="M245" s="30" t="str"/>
      <x:c r="N245" s="30" t="str"/>
    </x:row>
    <x:row r="246">
      <x:c r="A246" s="30" t="str">
        <x:v>M08</x:v>
      </x:c>
      <x:c r="B246" s="30" t="str">
        <x:v>M08-F025</x:v>
      </x:c>
      <x:c r="C246" s="30" t="str">
        <x:v>P0</x:v>
      </x:c>
      <x:c r="D246" s="30" t="str">
        <x:v>ADD</x:v>
      </x:c>
      <x:c r="E246" s="30" t="str">
        <x:v>I-WP04</x:v>
      </x:c>
      <x:c r="F246" s="30" t="str">
        <x:v>Kiên</x:v>
      </x:c>
      <x:c r="G246" s="30" t="str">
        <x:v>Core-only `ThreatQuery` dùng cache-aside: Redis HIT; MISS → PostgreSQL source of truth → cache `ReputationContext`; scanner worker không gọi `ThreatQuery`.</x:v>
      </x:c>
      <x:c r="H246" s="30" t="str">
        <x:v>`ARCH-V3.2-05`</x:v>
      </x:c>
      <x:c r="I246" s="30" t="str">
        <x:v>—</x:v>
      </x:c>
      <x:c r="J246" s="30" t="str">
        <x:v>☐</x:v>
      </x:c>
      <x:c r="K246" s="30" t="str">
        <x:v>Chưa bắt đầu</x:v>
      </x:c>
      <x:c r="L246" s="40" t="n">
        <x:f>IF(J246="☑",1,IF(K246="Done",1,IF(K246="Đang làm",0.5,IF(K246="Blocked",0.25,0))))</x:f>
        <x:v>0</x:v>
      </x:c>
      <x:c r="M246" s="30" t="str"/>
      <x:c r="N246" s="30" t="str"/>
    </x:row>
    <x:row r="247">
      <x:c r="A247" s="30" t="str">
        <x:v>M08</x:v>
      </x:c>
      <x:c r="B247" s="30" t="str">
        <x:v>M08-F026</x:v>
      </x:c>
      <x:c r="C247" s="30" t="str">
        <x:v>P0</x:v>
      </x:c>
      <x:c r="D247" s="30" t="str">
        <x:v>ADD</x:v>
      </x:c>
      <x:c r="E247" s="30" t="str">
        <x:v>I-WP04</x:v>
      </x:c>
      <x:c r="F247" s="30" t="str">
        <x:v>Kiên</x:v>
      </x:c>
      <x:c r="G247" s="30" t="str">
        <x:v>Threat ingestion normalize/validate/deduplicate/version/upsert PostgreSQL rồi refresh/invalidate Redis; scanner worker không đọc DB/Redis/core API.</x:v>
      </x:c>
      <x:c r="H247" s="30" t="str">
        <x:v>`ARCH-V3.2-06`</x:v>
      </x:c>
      <x:c r="I247" s="30" t="str">
        <x:v>—</x:v>
      </x:c>
      <x:c r="J247" s="30" t="str">
        <x:v>☐</x:v>
      </x:c>
      <x:c r="K247" s="30" t="str">
        <x:v>Chưa bắt đầu</x:v>
      </x:c>
      <x:c r="L247" s="40" t="n">
        <x:f>IF(J247="☑",1,IF(K247="Done",1,IF(K247="Đang làm",0.5,IF(K247="Blocked",0.25,0))))</x:f>
        <x:v>0</x:v>
      </x:c>
      <x:c r="M247" s="30" t="str"/>
      <x:c r="N247" s="30" t="str"/>
    </x:row>
    <x:row r="248">
      <x:c r="A248" s="30" t="str">
        <x:v>M08</x:v>
      </x:c>
      <x:c r="B248" s="30" t="str">
        <x:v>M08-F027</x:v>
      </x:c>
      <x:c r="C248" s="30" t="str">
        <x:v>P0</x:v>
      </x:c>
      <x:c r="D248" s="30" t="str">
        <x:v>ADD</x:v>
      </x:c>
      <x:c r="E248" s="30" t="str">
        <x:v>I-WP04</x:v>
      </x:c>
      <x:c r="F248" s="30" t="str">
        <x:v>Kiên</x:v>
      </x:c>
      <x:c r="G248" s="30" t="str">
        <x:v>Deferred enrichment chỉ diễn ra trong Spring Boot core khi consume `DerivedIndicator`; `ThreatQuery` bounded ~500 ms và trả `NO_DATA`/`REPUTATION_UNAVAILABLE`, không expose worker-facing lookup endpoint.</x:v>
      </x:c>
      <x:c r="H248" s="30" t="str">
        <x:v>`ARCH-V3.2-07`</x:v>
      </x:c>
      <x:c r="I248" s="30" t="str">
        <x:v>—</x:v>
      </x:c>
      <x:c r="J248" s="30" t="str">
        <x:v>☐</x:v>
      </x:c>
      <x:c r="K248" s="30" t="str">
        <x:v>Chưa bắt đầu</x:v>
      </x:c>
      <x:c r="L248" s="40" t="n">
        <x:f>IF(J248="☑",1,IF(K248="Done",1,IF(K248="Đang làm",0.5,IF(K248="Blocked",0.25,0))))</x:f>
        <x:v>0</x:v>
      </x:c>
      <x:c r="M248" s="30" t="str"/>
      <x:c r="N248" s="30" t="str"/>
    </x:row>
    <x:row r="249">
      <x:c r="A249" s="30" t="str">
        <x:v>M09</x:v>
      </x:c>
      <x:c r="B249" s="30" t="str">
        <x:v>M09-F001</x:v>
      </x:c>
      <x:c r="C249" s="30" t="str">
        <x:v>P0</x:v>
      </x:c>
      <x:c r="D249" s="30" t="str">
        <x:v>KEEP</x:v>
      </x:c>
      <x:c r="E249" s="30" t="str">
        <x:v>I-WP05</x:v>
      </x:c>
      <x:c r="F249" s="30" t="str">
        <x:v>Kiên</x:v>
      </x:c>
      <x:c r="G249" s="30" t="str">
        <x:v>Mô hình rule khai báo bằng FACT: `requiresAll` / `requiresAny` / `requiresNone`</x:v>
      </x:c>
      <x:c r="H249" s="30" t="str">
        <x:v>`H10-01`</x:v>
      </x:c>
      <x:c r="I249" s="30" t="str">
        <x:v>Hùng</x:v>
      </x:c>
      <x:c r="J249" s="30" t="str">
        <x:v>☐</x:v>
      </x:c>
      <x:c r="K249" s="30" t="str">
        <x:v>Chưa bắt đầu</x:v>
      </x:c>
      <x:c r="L249" s="40" t="n">
        <x:f>IF(J249="☑",1,IF(K249="Done",1,IF(K249="Đang làm",0.5,IF(K249="Blocked",0.25,0))))</x:f>
        <x:v>0</x:v>
      </x:c>
      <x:c r="M249" s="30" t="str"/>
      <x:c r="N249" s="30" t="str"/>
    </x:row>
    <x:row r="250">
      <x:c r="A250" s="30" t="str">
        <x:v>M09</x:v>
      </x:c>
      <x:c r="B250" s="30" t="str">
        <x:v>M09-F002</x:v>
      </x:c>
      <x:c r="C250" s="30" t="str">
        <x:v>P0</x:v>
      </x:c>
      <x:c r="D250" s="30" t="str">
        <x:v>KEEP</x:v>
      </x:c>
      <x:c r="E250" s="30" t="str">
        <x:v>I-WP05</x:v>
      </x:c>
      <x:c r="F250" s="30" t="str">
        <x:v>Kiên</x:v>
      </x:c>
      <x:c r="G250" s="30" t="str">
        <x:v>Sinh `evidences[]` với `ruleCode`, `ruleName`, `score`, `severity`, `description`</x:v>
      </x:c>
      <x:c r="H250" s="30" t="str">
        <x:v>`H10-02`</x:v>
      </x:c>
      <x:c r="I250" s="30" t="str">
        <x:v>Hùng</x:v>
      </x:c>
      <x:c r="J250" s="30" t="str">
        <x:v>☐</x:v>
      </x:c>
      <x:c r="K250" s="30" t="str">
        <x:v>Chưa bắt đầu</x:v>
      </x:c>
      <x:c r="L250" s="40" t="n">
        <x:f>IF(J250="☑",1,IF(K250="Done",1,IF(K250="Đang làm",0.5,IF(K250="Blocked",0.25,0))))</x:f>
        <x:v>0</x:v>
      </x:c>
      <x:c r="M250" s="30" t="str"/>
      <x:c r="N250" s="30" t="str"/>
    </x:row>
    <x:row r="251">
      <x:c r="A251" s="30" t="str">
        <x:v>M09</x:v>
      </x:c>
      <x:c r="B251" s="30" t="str">
        <x:v>M09-F003</x:v>
      </x:c>
      <x:c r="C251" s="30" t="str">
        <x:v>P0</x:v>
      </x:c>
      <x:c r="D251" s="30" t="str">
        <x:v>MODIFY</x:v>
      </x:c>
      <x:c r="E251" s="30" t="str">
        <x:v>I-WP06</x:v>
      </x:c>
      <x:c r="F251" s="30" t="str">
        <x:v>Kiên</x:v>
      </x:c>
      <x:c r="G251" s="30" t="str">
        <x:v>Risk Fusion tạo `riskScore` trong `[0,100]` từ các nhóm Technical / Content / Reputation-Community / AI theo `FusionPolicy` versioned; mapping `0-34 SAFE`, `35-69 CAUTION`, `70-100 DANGER`.</x:v>
      </x:c>
      <x:c r="H251" s="30" t="str">
        <x:v>`H10-03`</x:v>
      </x:c>
      <x:c r="I251" s="30" t="str">
        <x:v>Hùng</x:v>
      </x:c>
      <x:c r="J251" s="30" t="str">
        <x:v>☐</x:v>
      </x:c>
      <x:c r="K251" s="30" t="str">
        <x:v>Chưa bắt đầu</x:v>
      </x:c>
      <x:c r="L251" s="40" t="n">
        <x:f>IF(J251="☑",1,IF(K251="Done",1,IF(K251="Đang làm",0.5,IF(K251="Blocked",0.25,0))))</x:f>
        <x:v>0</x:v>
      </x:c>
      <x:c r="M251" s="30" t="str"/>
      <x:c r="N251" s="30" t="str"/>
    </x:row>
    <x:row r="252">
      <x:c r="A252" s="30" t="str">
        <x:v>M09</x:v>
      </x:c>
      <x:c r="B252" s="30" t="str">
        <x:v>M09-F004</x:v>
      </x:c>
      <x:c r="C252" s="30" t="str">
        <x:v>P0</x:v>
      </x:c>
      <x:c r="D252" s="30" t="str">
        <x:v>MODIFY</x:v>
      </x:c>
      <x:c r="E252" s="30" t="str">
        <x:v>I-WP05</x:v>
      </x:c>
      <x:c r="F252" s="30" t="str">
        <x:v>Kiên</x:v>
      </x:c>
      <x:c r="G252" s="30" t="str">
        <x:v>Bất biến kiểm thử: cùng `UnifiedSignalSet` + cùng `FusionPolicy` phải cho kết quả deterministic; không giả định `riskScore = sum(evidences[].score)`.</x:v>
      </x:c>
      <x:c r="H252" s="30" t="str">
        <x:v>`H10-04`</x:v>
      </x:c>
      <x:c r="I252" s="30" t="str">
        <x:v>Hùng</x:v>
      </x:c>
      <x:c r="J252" s="30" t="str">
        <x:v>☐</x:v>
      </x:c>
      <x:c r="K252" s="30" t="str">
        <x:v>Chưa bắt đầu</x:v>
      </x:c>
      <x:c r="L252" s="40" t="n">
        <x:f>IF(J252="☑",1,IF(K252="Done",1,IF(K252="Đang làm",0.5,IF(K252="Blocked",0.25,0))))</x:f>
        <x:v>0</x:v>
      </x:c>
      <x:c r="M252" s="30" t="str"/>
      <x:c r="N252" s="30" t="str"/>
    </x:row>
    <x:row r="253">
      <x:c r="A253" s="30" t="str">
        <x:v>M09</x:v>
      </x:c>
      <x:c r="B253" s="30" t="str">
        <x:v>M09-F005</x:v>
      </x:c>
      <x:c r="C253" s="30" t="str">
        <x:v>P0</x:v>
      </x:c>
      <x:c r="D253" s="30" t="str">
        <x:v>MODIFY</x:v>
      </x:c>
      <x:c r="E253" s="30" t="str">
        <x:v>I-WP05</x:v>
      </x:c>
      <x:c r="F253" s="30" t="str">
        <x:v>Kiên</x:v>
      </x:c>
      <x:c r="G253" s="30" t="str">
        <x:v>Result Composer sinh `evidence[]`, `explanation[]` và `recommendations[]` từ signal/rule/fusion result; không để AI tự quyết định business verdict.</x:v>
      </x:c>
      <x:c r="H253" s="30" t="str">
        <x:v>`H10-05`</x:v>
      </x:c>
      <x:c r="I253" s="30" t="str">
        <x:v>Hùng</x:v>
      </x:c>
      <x:c r="J253" s="30" t="str">
        <x:v>☐</x:v>
      </x:c>
      <x:c r="K253" s="30" t="str">
        <x:v>Chưa bắt đầu</x:v>
      </x:c>
      <x:c r="L253" s="40" t="n">
        <x:f>IF(J253="☑",1,IF(K253="Done",1,IF(K253="Đang làm",0.5,IF(K253="Blocked",0.25,0))))</x:f>
        <x:v>0</x:v>
      </x:c>
      <x:c r="M253" s="30" t="str"/>
      <x:c r="N253" s="30" t="str"/>
    </x:row>
    <x:row r="254">
      <x:c r="A254" s="30" t="str">
        <x:v>M09</x:v>
      </x:c>
      <x:c r="B254" s="30" t="str">
        <x:v>M09-F006</x:v>
      </x:c>
      <x:c r="C254" s="30" t="str">
        <x:v>P1</x:v>
      </x:c>
      <x:c r="D254" s="30" t="str">
        <x:v>MODIFY</x:v>
      </x:c>
      <x:c r="E254" s="30" t="str">
        <x:v>I-WP06</x:v>
      </x:c>
      <x:c r="F254" s="30" t="str">
        <x:v>Kiên</x:v>
      </x:c>
      <x:c r="G254" s="30" t="str">
        <x:v>Nạp `rules`/`rule_versions` từ PostgreSQL; policy/rule active có version rõ ràng, cache Redis và invalidate khi admin activate version mới.</x:v>
      </x:c>
      <x:c r="H254" s="30" t="str">
        <x:v>`H10-06`</x:v>
      </x:c>
      <x:c r="I254" s="30" t="str">
        <x:v>Hùng</x:v>
      </x:c>
      <x:c r="J254" s="30" t="str">
        <x:v>☐</x:v>
      </x:c>
      <x:c r="K254" s="30" t="str">
        <x:v>Chưa bắt đầu</x:v>
      </x:c>
      <x:c r="L254" s="40" t="n">
        <x:f>IF(J254="☑",1,IF(K254="Done",1,IF(K254="Đang làm",0.5,IF(K254="Blocked",0.25,0))))</x:f>
        <x:v>0</x:v>
      </x:c>
      <x:c r="M254" s="30" t="str"/>
      <x:c r="N254" s="30" t="str"/>
    </x:row>
    <x:row r="255">
      <x:c r="A255" s="30" t="str">
        <x:v>M09</x:v>
      </x:c>
      <x:c r="B255" s="30" t="str">
        <x:v>M09-F007</x:v>
      </x:c>
      <x:c r="C255" s="30" t="str">
        <x:v>P1</x:v>
      </x:c>
      <x:c r="D255" s="30" t="str">
        <x:v>MODIFY</x:v>
      </x:c>
      <x:c r="E255" s="30" t="str">
        <x:v>I-WP06</x:v>
      </x:c>
      <x:c r="F255" s="30" t="str">
        <x:v>Kiên</x:v>
      </x:c>
      <x:c r="G255" s="30" t="str">
        <x:v>Nếu cần `confidence`, định nghĩa như metadata riêng có source/calibration rõ ràng; không dùng confidence để thay thế `riskScore`.</x:v>
      </x:c>
      <x:c r="H255" s="30" t="str">
        <x:v>`H10-07`</x:v>
      </x:c>
      <x:c r="I255" s="30" t="str">
        <x:v>Hùng</x:v>
      </x:c>
      <x:c r="J255" s="30" t="str">
        <x:v>☐</x:v>
      </x:c>
      <x:c r="K255" s="30" t="str">
        <x:v>Chưa bắt đầu</x:v>
      </x:c>
      <x:c r="L255" s="40" t="n">
        <x:f>IF(J255="☑",1,IF(K255="Done",1,IF(K255="Đang làm",0.5,IF(K255="Blocked",0.25,0))))</x:f>
        <x:v>0</x:v>
      </x:c>
      <x:c r="M255" s="30" t="str"/>
      <x:c r="N255" s="30" t="str"/>
    </x:row>
    <x:row r="256">
      <x:c r="A256" s="30" t="str">
        <x:v>M09</x:v>
      </x:c>
      <x:c r="B256" s="30" t="str">
        <x:v>M09-F008</x:v>
      </x:c>
      <x:c r="C256" s="30" t="str">
        <x:v>P2</x:v>
      </x:c>
      <x:c r="D256" s="30" t="str">
        <x:v>MODIFY</x:v>
      </x:c>
      <x:c r="E256" s="30" t="str">
        <x:v>I-WP06</x:v>
      </x:c>
      <x:c r="F256" s="30" t="str">
        <x:v>Kiên</x:v>
      </x:c>
      <x:c r="G256" s="30" t="str">
        <x:v>P2: hỗ trợ policy profile theo user chỉ khi có requirement rõ ràng; không thay đổi semantics `SAFE/CAUTION/DANGER` tùy tiện theo client.</x:v>
      </x:c>
      <x:c r="H256" s="30" t="str">
        <x:v>`H10-08`</x:v>
      </x:c>
      <x:c r="I256" s="30" t="str">
        <x:v>Hùng</x:v>
      </x:c>
      <x:c r="J256" s="30" t="str">
        <x:v>☐</x:v>
      </x:c>
      <x:c r="K256" s="30" t="str">
        <x:v>Chưa bắt đầu</x:v>
      </x:c>
      <x:c r="L256" s="40" t="n">
        <x:f>IF(J256="☑",1,IF(K256="Done",1,IF(K256="Đang làm",0.5,IF(K256="Blocked",0.25,0))))</x:f>
        <x:v>0</x:v>
      </x:c>
      <x:c r="M256" s="30" t="str"/>
      <x:c r="N256" s="30" t="str"/>
    </x:row>
    <x:row r="257">
      <x:c r="A257" s="30" t="str">
        <x:v>M09</x:v>
      </x:c>
      <x:c r="B257" s="30" t="str">
        <x:v>M09-F009</x:v>
      </x:c>
      <x:c r="C257" s="30" t="str">
        <x:v>P0</x:v>
      </x:c>
      <x:c r="D257" s="30" t="str">
        <x:v>MODIFY</x:v>
      </x:c>
      <x:c r="E257" s="30" t="str">
        <x:v>I-WP07</x:v>
      </x:c>
      <x:c r="F257" s="30" t="str">
        <x:v>Kiên</x:v>
      </x:c>
      <x:c r="G257" s="30" t="str">
        <x:v>Bảng `rules` và `rule_versions` / versioned rule definition trong PostgreSQL</x:v>
      </x:c>
      <x:c r="H257" s="30" t="str">
        <x:v>`R04-01`</x:v>
      </x:c>
      <x:c r="I257" s="30" t="str">
        <x:v>Kiên</x:v>
      </x:c>
      <x:c r="J257" s="30" t="str">
        <x:v>☐</x:v>
      </x:c>
      <x:c r="K257" s="30" t="str">
        <x:v>Chưa bắt đầu</x:v>
      </x:c>
      <x:c r="L257" s="40" t="n">
        <x:f>IF(J257="☑",1,IF(K257="Done",1,IF(K257="Đang làm",0.5,IF(K257="Blocked",0.25,0))))</x:f>
        <x:v>0</x:v>
      </x:c>
      <x:c r="M257" s="30" t="str"/>
      <x:c r="N257" s="30" t="str"/>
    </x:row>
    <x:row r="258">
      <x:c r="A258" s="30" t="str">
        <x:v>M09</x:v>
      </x:c>
      <x:c r="B258" s="30" t="str">
        <x:v>M09-F010</x:v>
      </x:c>
      <x:c r="C258" s="30" t="str">
        <x:v>P0</x:v>
      </x:c>
      <x:c r="D258" s="30" t="str">
        <x:v>MODIFY</x:v>
      </x:c>
      <x:c r="E258" s="30" t="str">
        <x:v>I-WP07</x:v>
      </x:c>
      <x:c r="F258" s="30" t="str">
        <x:v>Kiên</x:v>
      </x:c>
      <x:c r="G258" s="30" t="str">
        <x:v>`Spring Boot Rule/Risk capability` nạp rule từ DB thay vì file, cache Redis</x:v>
      </x:c>
      <x:c r="H258" s="30" t="str">
        <x:v>`R04-02`</x:v>
      </x:c>
      <x:c r="I258" s="30" t="str">
        <x:v>Kiên</x:v>
      </x:c>
      <x:c r="J258" s="30" t="str">
        <x:v>☐</x:v>
      </x:c>
      <x:c r="K258" s="30" t="str">
        <x:v>Chưa bắt đầu</x:v>
      </x:c>
      <x:c r="L258" s="40" t="n">
        <x:f>IF(J258="☑",1,IF(K258="Done",1,IF(K258="Đang làm",0.5,IF(K258="Blocked",0.25,0))))</x:f>
        <x:v>0</x:v>
      </x:c>
      <x:c r="M258" s="30" t="str"/>
      <x:c r="N258" s="30" t="str"/>
    </x:row>
    <x:row r="259">
      <x:c r="A259" s="30" t="str">
        <x:v>M09</x:v>
      </x:c>
      <x:c r="B259" s="30" t="str">
        <x:v>M09-F011</x:v>
      </x:c>
      <x:c r="C259" s="30" t="str">
        <x:v>P1</x:v>
      </x:c>
      <x:c r="D259" s="30" t="str">
        <x:v>KEEP</x:v>
      </x:c>
      <x:c r="E259" s="30" t="str">
        <x:v>I-WP07</x:v>
      </x:c>
      <x:c r="F259" s="30" t="str">
        <x:v>Kiên</x:v>
      </x:c>
      <x:c r="G259" s="30" t="str">
        <x:v>Trang admin: liệt kê, tìm kiếm, lọc rule theo danh mục và mức nghiêm trọng</x:v>
      </x:c>
      <x:c r="H259" s="30" t="str">
        <x:v>`R04-03`</x:v>
      </x:c>
      <x:c r="I259" s="30" t="str">
        <x:v>Kiên</x:v>
      </x:c>
      <x:c r="J259" s="30" t="str">
        <x:v>☐</x:v>
      </x:c>
      <x:c r="K259" s="30" t="str">
        <x:v>Chưa bắt đầu</x:v>
      </x:c>
      <x:c r="L259" s="40" t="n">
        <x:f>IF(J259="☑",1,IF(K259="Done",1,IF(K259="Đang làm",0.5,IF(K259="Blocked",0.25,0))))</x:f>
        <x:v>0</x:v>
      </x:c>
      <x:c r="M259" s="30" t="str"/>
      <x:c r="N259" s="30" t="str"/>
    </x:row>
    <x:row r="260">
      <x:c r="A260" s="30" t="str">
        <x:v>M09</x:v>
      </x:c>
      <x:c r="B260" s="30" t="str">
        <x:v>M09-F012</x:v>
      </x:c>
      <x:c r="C260" s="30" t="str">
        <x:v>P1</x:v>
      </x:c>
      <x:c r="D260" s="30" t="str">
        <x:v>KEEP</x:v>
      </x:c>
      <x:c r="E260" s="30" t="str">
        <x:v>I-WP07</x:v>
      </x:c>
      <x:c r="F260" s="30" t="str">
        <x:v>Kiên</x:v>
      </x:c>
      <x:c r="G260" s="30" t="str">
        <x:v>Tạo, sửa, bật/tắt rule qua giao diện</x:v>
      </x:c>
      <x:c r="H260" s="30" t="str">
        <x:v>`R04-04`</x:v>
      </x:c>
      <x:c r="I260" s="30" t="str">
        <x:v>Kiên</x:v>
      </x:c>
      <x:c r="J260" s="30" t="str">
        <x:v>☐</x:v>
      </x:c>
      <x:c r="K260" s="30" t="str">
        <x:v>Chưa bắt đầu</x:v>
      </x:c>
      <x:c r="L260" s="40" t="n">
        <x:f>IF(J260="☑",1,IF(K260="Done",1,IF(K260="Đang làm",0.5,IF(K260="Blocked",0.25,0))))</x:f>
        <x:v>0</x:v>
      </x:c>
      <x:c r="M260" s="30" t="str"/>
      <x:c r="N260" s="30" t="str"/>
    </x:row>
    <x:row r="261">
      <x:c r="A261" s="30" t="str">
        <x:v>M09</x:v>
      </x:c>
      <x:c r="B261" s="30" t="str">
        <x:v>M09-F013</x:v>
      </x:c>
      <x:c r="C261" s="30" t="str">
        <x:v>P1</x:v>
      </x:c>
      <x:c r="D261" s="30" t="str">
        <x:v>KEEP</x:v>
      </x:c>
      <x:c r="E261" s="30" t="str">
        <x:v>I-WP07</x:v>
      </x:c>
      <x:c r="F261" s="30" t="str">
        <x:v>Kiên</x:v>
      </x:c>
      <x:c r="G261" s="30" t="str">
        <x:v>Chỉnh trọng số và mức nghiêm trọng, kích hoạt rebuild cache</x:v>
      </x:c>
      <x:c r="H261" s="30" t="str">
        <x:v>`R04-05`</x:v>
      </x:c>
      <x:c r="I261" s="30" t="str">
        <x:v>Kiên</x:v>
      </x:c>
      <x:c r="J261" s="30" t="str">
        <x:v>☐</x:v>
      </x:c>
      <x:c r="K261" s="30" t="str">
        <x:v>Chưa bắt đầu</x:v>
      </x:c>
      <x:c r="L261" s="40" t="n">
        <x:f>IF(J261="☑",1,IF(K261="Done",1,IF(K261="Đang làm",0.5,IF(K261="Blocked",0.25,0))))</x:f>
        <x:v>0</x:v>
      </x:c>
      <x:c r="M261" s="30" t="str"/>
      <x:c r="N261" s="30" t="str"/>
    </x:row>
    <x:row r="262">
      <x:c r="A262" s="30" t="str">
        <x:v>M09</x:v>
      </x:c>
      <x:c r="B262" s="30" t="str">
        <x:v>M09-F014</x:v>
      </x:c>
      <x:c r="C262" s="30" t="str">
        <x:v>P1</x:v>
      </x:c>
      <x:c r="D262" s="30" t="str">
        <x:v>KEEP</x:v>
      </x:c>
      <x:c r="E262" s="30" t="str">
        <x:v>I-WP07</x:v>
      </x:c>
      <x:c r="F262" s="30" t="str">
        <x:v>Kiên</x:v>
      </x:c>
      <x:c r="G262" s="30" t="str">
        <x:v>Ghi audit log mọi thay đổi rule</x:v>
      </x:c>
      <x:c r="H262" s="30" t="str">
        <x:v>`R04-06`</x:v>
      </x:c>
      <x:c r="I262" s="30" t="str">
        <x:v>Kiên</x:v>
      </x:c>
      <x:c r="J262" s="30" t="str">
        <x:v>☐</x:v>
      </x:c>
      <x:c r="K262" s="30" t="str">
        <x:v>Chưa bắt đầu</x:v>
      </x:c>
      <x:c r="L262" s="40" t="n">
        <x:f>IF(J262="☑",1,IF(K262="Done",1,IF(K262="Đang làm",0.5,IF(K262="Blocked",0.25,0))))</x:f>
        <x:v>0</x:v>
      </x:c>
      <x:c r="M262" s="30" t="str"/>
      <x:c r="N262" s="30" t="str"/>
    </x:row>
    <x:row r="263">
      <x:c r="A263" s="30" t="str">
        <x:v>M09</x:v>
      </x:c>
      <x:c r="B263" s="30" t="str">
        <x:v>M09-F015</x:v>
      </x:c>
      <x:c r="C263" s="30" t="str">
        <x:v>P2</x:v>
      </x:c>
      <x:c r="D263" s="30" t="str">
        <x:v>KEEP</x:v>
      </x:c>
      <x:c r="E263" s="30" t="str">
        <x:v>I-WP07</x:v>
      </x:c>
      <x:c r="F263" s="30" t="str">
        <x:v>Kiên</x:v>
      </x:c>
      <x:c r="G263" s="30" t="str">
        <x:v>Sao chép rule để tạo biến thể</x:v>
      </x:c>
      <x:c r="H263" s="30" t="str">
        <x:v>`R04-07`</x:v>
      </x:c>
      <x:c r="I263" s="30" t="str">
        <x:v>Kiên</x:v>
      </x:c>
      <x:c r="J263" s="30" t="str">
        <x:v>☐</x:v>
      </x:c>
      <x:c r="K263" s="30" t="str">
        <x:v>Chưa bắt đầu</x:v>
      </x:c>
      <x:c r="L263" s="40" t="n">
        <x:f>IF(J263="☑",1,IF(K263="Done",1,IF(K263="Đang làm",0.5,IF(K263="Blocked",0.25,0))))</x:f>
        <x:v>0</x:v>
      </x:c>
      <x:c r="M263" s="30" t="str"/>
      <x:c r="N263" s="30" t="str"/>
    </x:row>
    <x:row r="264">
      <x:c r="A264" s="30" t="str">
        <x:v>M09</x:v>
      </x:c>
      <x:c r="B264" s="30" t="str">
        <x:v>M09-F016</x:v>
      </x:c>
      <x:c r="C264" s="30" t="str">
        <x:v>P2</x:v>
      </x:c>
      <x:c r="D264" s="30" t="str">
        <x:v>KEEP</x:v>
      </x:c>
      <x:c r="E264" s="30" t="str">
        <x:v>I-WP07</x:v>
      </x:c>
      <x:c r="F264" s="30" t="str">
        <x:v>Kiên</x:v>
      </x:c>
      <x:c r="G264" s="30" t="str">
        <x:v>Nhập/xuất bộ rule dạng JSON</x:v>
      </x:c>
      <x:c r="H264" s="30" t="str">
        <x:v>`R04-08`</x:v>
      </x:c>
      <x:c r="I264" s="30" t="str">
        <x:v>Kiên</x:v>
      </x:c>
      <x:c r="J264" s="30" t="str">
        <x:v>☐</x:v>
      </x:c>
      <x:c r="K264" s="30" t="str">
        <x:v>Chưa bắt đầu</x:v>
      </x:c>
      <x:c r="L264" s="40" t="n">
        <x:f>IF(J264="☑",1,IF(K264="Done",1,IF(K264="Đang làm",0.5,IF(K264="Blocked",0.25,0))))</x:f>
        <x:v>0</x:v>
      </x:c>
      <x:c r="M264" s="30" t="str"/>
      <x:c r="N264" s="30" t="str"/>
    </x:row>
    <x:row r="265">
      <x:c r="A265" s="30" t="str">
        <x:v>M09</x:v>
      </x:c>
      <x:c r="B265" s="30" t="str">
        <x:v>M09-F017</x:v>
      </x:c>
      <x:c r="C265" s="30" t="str">
        <x:v>P1</x:v>
      </x:c>
      <x:c r="D265" s="30" t="str">
        <x:v>KEEP</x:v>
      </x:c>
      <x:c r="E265" s="30" t="str">
        <x:v>I-WP08</x:v>
      </x:c>
      <x:c r="F265" s="30" t="str">
        <x:v>Kiên</x:v>
      </x:c>
      <x:c r="G265" s="30" t="str">
        <x:v>`GET /v1/rules/evaluate/preview` — chạy thử rule trên văn bản mẫu, không ghi lịch sử</x:v>
      </x:c>
      <x:c r="H265" s="30" t="str">
        <x:v>`R05-01`</x:v>
      </x:c>
      <x:c r="I265" s="30" t="str">
        <x:v>Kiên</x:v>
      </x:c>
      <x:c r="J265" s="30" t="str">
        <x:v>☐</x:v>
      </x:c>
      <x:c r="K265" s="30" t="str">
        <x:v>Chưa bắt đầu</x:v>
      </x:c>
      <x:c r="L265" s="40" t="n">
        <x:f>IF(J265="☑",1,IF(K265="Done",1,IF(K265="Đang làm",0.5,IF(K265="Blocked",0.25,0))))</x:f>
        <x:v>0</x:v>
      </x:c>
      <x:c r="M265" s="30" t="str"/>
      <x:c r="N265" s="30" t="str"/>
    </x:row>
    <x:row r="266">
      <x:c r="A266" s="30" t="str">
        <x:v>M09</x:v>
      </x:c>
      <x:c r="B266" s="30" t="str">
        <x:v>M09-F018</x:v>
      </x:c>
      <x:c r="C266" s="30" t="str">
        <x:v>P1</x:v>
      </x:c>
      <x:c r="D266" s="30" t="str">
        <x:v>KEEP</x:v>
      </x:c>
      <x:c r="E266" s="30" t="str">
        <x:v>I-WP08</x:v>
      </x:c>
      <x:c r="F266" s="30" t="str">
        <x:v>Kiên</x:v>
      </x:c>
      <x:c r="G266" s="30" t="str">
        <x:v>Giao diện sandbox: nhập văn bản, xem rule nào khớp và cộng bao nhiêu điểm</x:v>
      </x:c>
      <x:c r="H266" s="30" t="str">
        <x:v>`R05-02`</x:v>
      </x:c>
      <x:c r="I266" s="30" t="str">
        <x:v>Kiên</x:v>
      </x:c>
      <x:c r="J266" s="30" t="str">
        <x:v>☐</x:v>
      </x:c>
      <x:c r="K266" s="30" t="str">
        <x:v>Chưa bắt đầu</x:v>
      </x:c>
      <x:c r="L266" s="40" t="n">
        <x:f>IF(J266="☑",1,IF(K266="Done",1,IF(K266="Đang làm",0.5,IF(K266="Blocked",0.25,0))))</x:f>
        <x:v>0</x:v>
      </x:c>
      <x:c r="M266" s="30" t="str"/>
      <x:c r="N266" s="30" t="str"/>
    </x:row>
    <x:row r="267">
      <x:c r="A267" s="30" t="str">
        <x:v>M09</x:v>
      </x:c>
      <x:c r="B267" s="30" t="str">
        <x:v>M09-F019</x:v>
      </x:c>
      <x:c r="C267" s="30" t="str">
        <x:v>P1</x:v>
      </x:c>
      <x:c r="D267" s="30" t="str">
        <x:v>KEEP</x:v>
      </x:c>
      <x:c r="E267" s="30" t="str">
        <x:v>I-WP08</x:v>
      </x:c>
      <x:c r="F267" s="30" t="str">
        <x:v>Kiên</x:v>
      </x:c>
      <x:c r="G267" s="30" t="str">
        <x:v>Xem trước ảnh hưởng khi đổi trọng số, trước khi lưu</x:v>
      </x:c>
      <x:c r="H267" s="30" t="str">
        <x:v>`R05-03`</x:v>
      </x:c>
      <x:c r="I267" s="30" t="str">
        <x:v>Kiên</x:v>
      </x:c>
      <x:c r="J267" s="30" t="str">
        <x:v>☐</x:v>
      </x:c>
      <x:c r="K267" s="30" t="str">
        <x:v>Chưa bắt đầu</x:v>
      </x:c>
      <x:c r="L267" s="40" t="n">
        <x:f>IF(J267="☑",1,IF(K267="Done",1,IF(K267="Đang làm",0.5,IF(K267="Blocked",0.25,0))))</x:f>
        <x:v>0</x:v>
      </x:c>
      <x:c r="M267" s="30" t="str"/>
      <x:c r="N267" s="30" t="str"/>
    </x:row>
    <x:row r="268">
      <x:c r="A268" s="30" t="str">
        <x:v>M09</x:v>
      </x:c>
      <x:c r="B268" s="30" t="str">
        <x:v>M09-F020</x:v>
      </x:c>
      <x:c r="C268" s="30" t="str">
        <x:v>P2</x:v>
      </x:c>
      <x:c r="D268" s="30" t="str">
        <x:v>KEEP</x:v>
      </x:c>
      <x:c r="E268" s="30" t="str">
        <x:v>I-WP08</x:v>
      </x:c>
      <x:c r="F268" s="30" t="str">
        <x:v>Kiên</x:v>
      </x:c>
      <x:c r="G268" s="30" t="str">
        <x:v>Chạy rule mới trên tập dữ liệu gán nhãn, báo số case bị ảnh hưởng</x:v>
      </x:c>
      <x:c r="H268" s="30" t="str">
        <x:v>`R05-04`</x:v>
      </x:c>
      <x:c r="I268" s="30" t="str">
        <x:v>Kiên</x:v>
      </x:c>
      <x:c r="J268" s="30" t="str">
        <x:v>☐</x:v>
      </x:c>
      <x:c r="K268" s="30" t="str">
        <x:v>Chưa bắt đầu</x:v>
      </x:c>
      <x:c r="L268" s="40" t="n">
        <x:f>IF(J268="☑",1,IF(K268="Done",1,IF(K268="Đang làm",0.5,IF(K268="Blocked",0.25,0))))</x:f>
        <x:v>0</x:v>
      </x:c>
      <x:c r="M268" s="30" t="str"/>
      <x:c r="N268" s="30" t="str"/>
    </x:row>
    <x:row r="269">
      <x:c r="A269" s="30" t="str">
        <x:v>M09</x:v>
      </x:c>
      <x:c r="B269" s="30" t="str">
        <x:v>M09-F021</x:v>
      </x:c>
      <x:c r="C269" s="30" t="str">
        <x:v>P2</x:v>
      </x:c>
      <x:c r="D269" s="30" t="str">
        <x:v>KEEP</x:v>
      </x:c>
      <x:c r="E269" s="30" t="str">
        <x:v>I-WP08</x:v>
      </x:c>
      <x:c r="F269" s="30" t="str">
        <x:v>Kiên</x:v>
      </x:c>
      <x:c r="G269" s="30" t="str">
        <x:v>So sánh hai phiên bản bộ rule trên cùng tập đầu vào</x:v>
      </x:c>
      <x:c r="H269" s="30" t="str">
        <x:v>`R05-05`</x:v>
      </x:c>
      <x:c r="I269" s="30" t="str">
        <x:v>Kiên</x:v>
      </x:c>
      <x:c r="J269" s="30" t="str">
        <x:v>☐</x:v>
      </x:c>
      <x:c r="K269" s="30" t="str">
        <x:v>Chưa bắt đầu</x:v>
      </x:c>
      <x:c r="L269" s="40" t="n">
        <x:f>IF(J269="☑",1,IF(K269="Done",1,IF(K269="Đang làm",0.5,IF(K269="Blocked",0.25,0))))</x:f>
        <x:v>0</x:v>
      </x:c>
      <x:c r="M269" s="30" t="str"/>
      <x:c r="N269" s="30" t="str"/>
    </x:row>
    <x:row r="270">
      <x:c r="A270" s="30" t="str">
        <x:v>M09</x:v>
      </x:c>
      <x:c r="B270" s="30" t="str">
        <x:v>M09-F022</x:v>
      </x:c>
      <x:c r="C270" s="30" t="str">
        <x:v>P2</x:v>
      </x:c>
      <x:c r="D270" s="30" t="str">
        <x:v>KEEP</x:v>
      </x:c>
      <x:c r="E270" s="30" t="str">
        <x:v>I-WP08</x:v>
      </x:c>
      <x:c r="F270" s="30" t="str">
        <x:v>Kiên</x:v>
      </x:c>
      <x:c r="G270" s="30" t="str">
        <x:v>Chế độ shadow — chạy rule mới song song nhưng chưa áp dụng điểm</x:v>
      </x:c>
      <x:c r="H270" s="30" t="str">
        <x:v>`R05-06`</x:v>
      </x:c>
      <x:c r="I270" s="30" t="str">
        <x:v>Kiên</x:v>
      </x:c>
      <x:c r="J270" s="30" t="str">
        <x:v>☐</x:v>
      </x:c>
      <x:c r="K270" s="30" t="str">
        <x:v>Chưa bắt đầu</x:v>
      </x:c>
      <x:c r="L270" s="40" t="n">
        <x:f>IF(J270="☑",1,IF(K270="Done",1,IF(K270="Đang làm",0.5,IF(K270="Blocked",0.25,0))))</x:f>
        <x:v>0</x:v>
      </x:c>
      <x:c r="M270" s="30" t="str"/>
      <x:c r="N270" s="30" t="str"/>
    </x:row>
    <x:row r="271">
      <x:c r="A271" s="30" t="str">
        <x:v>M09</x:v>
      </x:c>
      <x:c r="B271" s="30" t="str">
        <x:v>M09-F023</x:v>
      </x:c>
      <x:c r="C271" s="30" t="str">
        <x:v>P1</x:v>
      </x:c>
      <x:c r="D271" s="30" t="str">
        <x:v>KEEP</x:v>
      </x:c>
      <x:c r="E271" s="30" t="str">
        <x:v>I-WP09</x:v>
      </x:c>
      <x:c r="F271" s="30" t="str">
        <x:v>Kiên</x:v>
      </x:c>
      <x:c r="G271" s="30" t="str">
        <x:v>Đánh phiên bản cho mỗi lần thay đổi bộ rule</x:v>
      </x:c>
      <x:c r="H271" s="30" t="str">
        <x:v>`R06-01`</x:v>
      </x:c>
      <x:c r="I271" s="30" t="str">
        <x:v>Kiên</x:v>
      </x:c>
      <x:c r="J271" s="30" t="str">
        <x:v>☐</x:v>
      </x:c>
      <x:c r="K271" s="30" t="str">
        <x:v>Chưa bắt đầu</x:v>
      </x:c>
      <x:c r="L271" s="40" t="n">
        <x:f>IF(J271="☑",1,IF(K271="Done",1,IF(K271="Đang làm",0.5,IF(K271="Blocked",0.25,0))))</x:f>
        <x:v>0</x:v>
      </x:c>
      <x:c r="M271" s="30" t="str"/>
      <x:c r="N271" s="30" t="str"/>
    </x:row>
    <x:row r="272">
      <x:c r="A272" s="30" t="str">
        <x:v>M09</x:v>
      </x:c>
      <x:c r="B272" s="30" t="str">
        <x:v>M09-F024</x:v>
      </x:c>
      <x:c r="C272" s="30" t="str">
        <x:v>P1</x:v>
      </x:c>
      <x:c r="D272" s="30" t="str">
        <x:v>KEEP</x:v>
      </x:c>
      <x:c r="E272" s="30" t="str">
        <x:v>I-WP09</x:v>
      </x:c>
      <x:c r="F272" s="30" t="str">
        <x:v>Kiên</x:v>
      </x:c>
      <x:c r="G272" s="30" t="str">
        <x:v>Lưu phiên bản rule đã dùng vào từng bản ghi kết quả quét</x:v>
      </x:c>
      <x:c r="H272" s="30" t="str">
        <x:v>`R06-02`</x:v>
      </x:c>
      <x:c r="I272" s="30" t="str">
        <x:v>Kiên</x:v>
      </x:c>
      <x:c r="J272" s="30" t="str">
        <x:v>☐</x:v>
      </x:c>
      <x:c r="K272" s="30" t="str">
        <x:v>Chưa bắt đầu</x:v>
      </x:c>
      <x:c r="L272" s="40" t="n">
        <x:f>IF(J272="☑",1,IF(K272="Done",1,IF(K272="Đang làm",0.5,IF(K272="Blocked",0.25,0))))</x:f>
        <x:v>0</x:v>
      </x:c>
      <x:c r="M272" s="30" t="str"/>
      <x:c r="N272" s="30" t="str"/>
    </x:row>
    <x:row r="273">
      <x:c r="A273" s="30" t="str">
        <x:v>M09</x:v>
      </x:c>
      <x:c r="B273" s="30" t="str">
        <x:v>M09-F025</x:v>
      </x:c>
      <x:c r="C273" s="30" t="str">
        <x:v>P1</x:v>
      </x:c>
      <x:c r="D273" s="30" t="str">
        <x:v>KEEP</x:v>
      </x:c>
      <x:c r="E273" s="30" t="str">
        <x:v>I-WP09</x:v>
      </x:c>
      <x:c r="F273" s="30" t="str">
        <x:v>Kiên</x:v>
      </x:c>
      <x:c r="G273" s="30" t="str">
        <x:v>Xem lịch sử thay đổi của một rule (ai sửa, sửa gì, khi nào)</x:v>
      </x:c>
      <x:c r="H273" s="30" t="str">
        <x:v>`R06-03`</x:v>
      </x:c>
      <x:c r="I273" s="30" t="str">
        <x:v>Kiên</x:v>
      </x:c>
      <x:c r="J273" s="30" t="str">
        <x:v>☐</x:v>
      </x:c>
      <x:c r="K273" s="30" t="str">
        <x:v>Chưa bắt đầu</x:v>
      </x:c>
      <x:c r="L273" s="40" t="n">
        <x:f>IF(J273="☑",1,IF(K273="Done",1,IF(K273="Đang làm",0.5,IF(K273="Blocked",0.25,0))))</x:f>
        <x:v>0</x:v>
      </x:c>
      <x:c r="M273" s="30" t="str"/>
      <x:c r="N273" s="30" t="str"/>
    </x:row>
    <x:row r="274">
      <x:c r="A274" s="30" t="str">
        <x:v>M09</x:v>
      </x:c>
      <x:c r="B274" s="30" t="str">
        <x:v>M09-F026</x:v>
      </x:c>
      <x:c r="C274" s="30" t="str">
        <x:v>P2</x:v>
      </x:c>
      <x:c r="D274" s="30" t="str">
        <x:v>KEEP</x:v>
      </x:c>
      <x:c r="E274" s="30" t="str">
        <x:v>I-WP09</x:v>
      </x:c>
      <x:c r="F274" s="30" t="str">
        <x:v>Kiên</x:v>
      </x:c>
      <x:c r="G274" s="30" t="str">
        <x:v>Quay lại phiên bản trước bằng một thao tác</x:v>
      </x:c>
      <x:c r="H274" s="30" t="str">
        <x:v>`R06-04`</x:v>
      </x:c>
      <x:c r="I274" s="30" t="str">
        <x:v>Kiên</x:v>
      </x:c>
      <x:c r="J274" s="30" t="str">
        <x:v>☐</x:v>
      </x:c>
      <x:c r="K274" s="30" t="str">
        <x:v>Chưa bắt đầu</x:v>
      </x:c>
      <x:c r="L274" s="40" t="n">
        <x:f>IF(J274="☑",1,IF(K274="Done",1,IF(K274="Đang làm",0.5,IF(K274="Blocked",0.25,0))))</x:f>
        <x:v>0</x:v>
      </x:c>
      <x:c r="M274" s="30" t="str"/>
      <x:c r="N274" s="30" t="str"/>
    </x:row>
    <x:row r="275">
      <x:c r="A275" s="30" t="str">
        <x:v>M09</x:v>
      </x:c>
      <x:c r="B275" s="30" t="str">
        <x:v>M09-F027</x:v>
      </x:c>
      <x:c r="C275" s="30" t="str">
        <x:v>P2</x:v>
      </x:c>
      <x:c r="D275" s="30" t="str">
        <x:v>KEEP</x:v>
      </x:c>
      <x:c r="E275" s="30" t="str">
        <x:v>I-WP09</x:v>
      </x:c>
      <x:c r="F275" s="30" t="str">
        <x:v>Kiên</x:v>
      </x:c>
      <x:c r="G275" s="30" t="str">
        <x:v>So sánh khác biệt giữa hai phiên bản</x:v>
      </x:c>
      <x:c r="H275" s="30" t="str">
        <x:v>`R06-05`</x:v>
      </x:c>
      <x:c r="I275" s="30" t="str">
        <x:v>Kiên</x:v>
      </x:c>
      <x:c r="J275" s="30" t="str">
        <x:v>☐</x:v>
      </x:c>
      <x:c r="K275" s="30" t="str">
        <x:v>Chưa bắt đầu</x:v>
      </x:c>
      <x:c r="L275" s="40" t="n">
        <x:f>IF(J275="☑",1,IF(K275="Done",1,IF(K275="Đang làm",0.5,IF(K275="Blocked",0.25,0))))</x:f>
        <x:v>0</x:v>
      </x:c>
      <x:c r="M275" s="30" t="str"/>
      <x:c r="N275" s="30" t="str"/>
    </x:row>
    <x:row r="276">
      <x:c r="A276" s="30" t="str">
        <x:v>M09</x:v>
      </x:c>
      <x:c r="B276" s="30" t="str">
        <x:v>M09-F028</x:v>
      </x:c>
      <x:c r="C276" s="30" t="str">
        <x:v>P2</x:v>
      </x:c>
      <x:c r="D276" s="30" t="str">
        <x:v>KEEP</x:v>
      </x:c>
      <x:c r="E276" s="30" t="str">
        <x:v>I-WP09</x:v>
      </x:c>
      <x:c r="F276" s="30" t="str">
        <x:v>Kiên</x:v>
      </x:c>
      <x:c r="G276" s="30" t="str">
        <x:v>Phê duyệt hai bước cho thay đổi rule quan trọng</x:v>
      </x:c>
      <x:c r="H276" s="30" t="str">
        <x:v>`R06-06`</x:v>
      </x:c>
      <x:c r="I276" s="30" t="str">
        <x:v>Kiên</x:v>
      </x:c>
      <x:c r="J276" s="30" t="str">
        <x:v>☐</x:v>
      </x:c>
      <x:c r="K276" s="30" t="str">
        <x:v>Chưa bắt đầu</x:v>
      </x:c>
      <x:c r="L276" s="40" t="n">
        <x:f>IF(J276="☑",1,IF(K276="Done",1,IF(K276="Đang làm",0.5,IF(K276="Blocked",0.25,0))))</x:f>
        <x:v>0</x:v>
      </x:c>
      <x:c r="M276" s="30" t="str"/>
      <x:c r="N276" s="30" t="str"/>
    </x:row>
    <x:row r="277">
      <x:c r="A277" s="30" t="str">
        <x:v>M09</x:v>
      </x:c>
      <x:c r="B277" s="30" t="str">
        <x:v>M09-F029</x:v>
      </x:c>
      <x:c r="C277" s="30" t="str">
        <x:v>P1</x:v>
      </x:c>
      <x:c r="D277" s="30" t="str">
        <x:v>KEEP</x:v>
      </x:c>
      <x:c r="E277" s="30" t="str">
        <x:v>I-WP10</x:v>
      </x:c>
      <x:c r="F277" s="30" t="str">
        <x:v>Kiên</x:v>
      </x:c>
      <x:c r="G277" s="30" t="str">
        <x:v>Số lượt quét theo ngày/tuần/tháng, tách theo loại đầu vào</x:v>
      </x:c>
      <x:c r="H277" s="30" t="str">
        <x:v>`T08-01`</x:v>
      </x:c>
      <x:c r="I277" s="30" t="str">
        <x:v>Thắng</x:v>
      </x:c>
      <x:c r="J277" s="30" t="str">
        <x:v>☐</x:v>
      </x:c>
      <x:c r="K277" s="30" t="str">
        <x:v>Chưa bắt đầu</x:v>
      </x:c>
      <x:c r="L277" s="40" t="n">
        <x:f>IF(J277="☑",1,IF(K277="Done",1,IF(K277="Đang làm",0.5,IF(K277="Blocked",0.25,0))))</x:f>
        <x:v>0</x:v>
      </x:c>
      <x:c r="M277" s="30" t="str"/>
      <x:c r="N277" s="30" t="str"/>
    </x:row>
    <x:row r="278">
      <x:c r="A278" s="30" t="str">
        <x:v>M09</x:v>
      </x:c>
      <x:c r="B278" s="30" t="str">
        <x:v>M09-F030</x:v>
      </x:c>
      <x:c r="C278" s="30" t="str">
        <x:v>P1</x:v>
      </x:c>
      <x:c r="D278" s="30" t="str">
        <x:v>KEEP</x:v>
      </x:c>
      <x:c r="E278" s="30" t="str">
        <x:v>I-WP10</x:v>
      </x:c>
      <x:c r="F278" s="30" t="str">
        <x:v>Kiên</x:v>
      </x:c>
      <x:c r="G278" s="30" t="str">
        <x:v>Phân bố mức rủi ro `SAFE` / `CAUTION` / `DANGER`</x:v>
      </x:c>
      <x:c r="H278" s="30" t="str">
        <x:v>`T08-02`</x:v>
      </x:c>
      <x:c r="I278" s="30" t="str">
        <x:v>Thắng</x:v>
      </x:c>
      <x:c r="J278" s="30" t="str">
        <x:v>☐</x:v>
      </x:c>
      <x:c r="K278" s="30" t="str">
        <x:v>Chưa bắt đầu</x:v>
      </x:c>
      <x:c r="L278" s="40" t="n">
        <x:f>IF(J278="☑",1,IF(K278="Done",1,IF(K278="Đang làm",0.5,IF(K278="Blocked",0.25,0))))</x:f>
        <x:v>0</x:v>
      </x:c>
      <x:c r="M278" s="30" t="str"/>
      <x:c r="N278" s="30" t="str"/>
    </x:row>
    <x:row r="279">
      <x:c r="A279" s="30" t="str">
        <x:v>M09</x:v>
      </x:c>
      <x:c r="B279" s="30" t="str">
        <x:v>M09-F031</x:v>
      </x:c>
      <x:c r="C279" s="30" t="str">
        <x:v>P1</x:v>
      </x:c>
      <x:c r="D279" s="30" t="str">
        <x:v>KEEP</x:v>
      </x:c>
      <x:c r="E279" s="30" t="str">
        <x:v>I-WP10</x:v>
      </x:c>
      <x:c r="F279" s="30" t="str">
        <x:v>Kiên</x:v>
      </x:c>
      <x:c r="G279" s="30" t="str">
        <x:v>Top loại lừa đảo phổ biến</x:v>
      </x:c>
      <x:c r="H279" s="30" t="str">
        <x:v>`T08-03`</x:v>
      </x:c>
      <x:c r="I279" s="30" t="str">
        <x:v>Thắng</x:v>
      </x:c>
      <x:c r="J279" s="30" t="str">
        <x:v>☐</x:v>
      </x:c>
      <x:c r="K279" s="30" t="str">
        <x:v>Chưa bắt đầu</x:v>
      </x:c>
      <x:c r="L279" s="40" t="n">
        <x:f>IF(J279="☑",1,IF(K279="Done",1,IF(K279="Đang làm",0.5,IF(K279="Blocked",0.25,0))))</x:f>
        <x:v>0</x:v>
      </x:c>
      <x:c r="M279" s="30" t="str"/>
      <x:c r="N279" s="30" t="str"/>
    </x:row>
    <x:row r="280">
      <x:c r="A280" s="30" t="str">
        <x:v>M09</x:v>
      </x:c>
      <x:c r="B280" s="30" t="str">
        <x:v>M09-F032</x:v>
      </x:c>
      <x:c r="C280" s="30" t="str">
        <x:v>P1</x:v>
      </x:c>
      <x:c r="D280" s="30" t="str">
        <x:v>KEEP</x:v>
      </x:c>
      <x:c r="E280" s="30" t="str">
        <x:v>I-WP10</x:v>
      </x:c>
      <x:c r="F280" s="30" t="str">
        <x:v>Kiên</x:v>
      </x:c>
      <x:c r="G280" s="30" t="str">
        <x:v>Top tên miền, số điện thoại, số tài khoản bị báo cáo nhiều nhất</x:v>
      </x:c>
      <x:c r="H280" s="30" t="str">
        <x:v>`T08-04`</x:v>
      </x:c>
      <x:c r="I280" s="30" t="str">
        <x:v>Thắng</x:v>
      </x:c>
      <x:c r="J280" s="30" t="str">
        <x:v>☐</x:v>
      </x:c>
      <x:c r="K280" s="30" t="str">
        <x:v>Chưa bắt đầu</x:v>
      </x:c>
      <x:c r="L280" s="40" t="n">
        <x:f>IF(J280="☑",1,IF(K280="Done",1,IF(K280="Đang làm",0.5,IF(K280="Blocked",0.25,0))))</x:f>
        <x:v>0</x:v>
      </x:c>
      <x:c r="M280" s="30" t="str"/>
      <x:c r="N280" s="30" t="str"/>
    </x:row>
    <x:row r="281">
      <x:c r="A281" s="30" t="str">
        <x:v>M09</x:v>
      </x:c>
      <x:c r="B281" s="30" t="str">
        <x:v>M09-F033</x:v>
      </x:c>
      <x:c r="C281" s="30" t="str">
        <x:v>P1</x:v>
      </x:c>
      <x:c r="D281" s="30" t="str">
        <x:v>KEEP</x:v>
      </x:c>
      <x:c r="E281" s="30" t="str">
        <x:v>I-WP10</x:v>
      </x:c>
      <x:c r="F281" s="30" t="str">
        <x:v>Kiên</x:v>
      </x:c>
      <x:c r="G281" s="30" t="str">
        <x:v>Số báo cáo theo trạng thái, thời gian xử lý trung bình</x:v>
      </x:c>
      <x:c r="H281" s="30" t="str">
        <x:v>`T08-05`</x:v>
      </x:c>
      <x:c r="I281" s="30" t="str">
        <x:v>Thắng</x:v>
      </x:c>
      <x:c r="J281" s="30" t="str">
        <x:v>☐</x:v>
      </x:c>
      <x:c r="K281" s="30" t="str">
        <x:v>Chưa bắt đầu</x:v>
      </x:c>
      <x:c r="L281" s="40" t="n">
        <x:f>IF(J281="☑",1,IF(K281="Done",1,IF(K281="Đang làm",0.5,IF(K281="Blocked",0.25,0))))</x:f>
        <x:v>0</x:v>
      </x:c>
      <x:c r="M281" s="30" t="str"/>
      <x:c r="N281" s="30" t="str"/>
    </x:row>
    <x:row r="282">
      <x:c r="A282" s="30" t="str">
        <x:v>M09</x:v>
      </x:c>
      <x:c r="B282" s="30" t="str">
        <x:v>M09-F034</x:v>
      </x:c>
      <x:c r="C282" s="30" t="str">
        <x:v>P2</x:v>
      </x:c>
      <x:c r="D282" s="30" t="str">
        <x:v>KEEP</x:v>
      </x:c>
      <x:c r="E282" s="30" t="str">
        <x:v>I-WP10</x:v>
      </x:c>
      <x:c r="F282" s="30" t="str">
        <x:v>Kiên</x:v>
      </x:c>
      <x:c r="G282" s="30" t="str">
        <x:v>Biểu đồ xu hướng theo thời gian, so sánh kỳ trước</x:v>
      </x:c>
      <x:c r="H282" s="30" t="str">
        <x:v>`T08-06`</x:v>
      </x:c>
      <x:c r="I282" s="30" t="str">
        <x:v>Thắng</x:v>
      </x:c>
      <x:c r="J282" s="30" t="str">
        <x:v>☐</x:v>
      </x:c>
      <x:c r="K282" s="30" t="str">
        <x:v>Chưa bắt đầu</x:v>
      </x:c>
      <x:c r="L282" s="40" t="n">
        <x:f>IF(J282="☑",1,IF(K282="Done",1,IF(K282="Đang làm",0.5,IF(K282="Blocked",0.25,0))))</x:f>
        <x:v>0</x:v>
      </x:c>
      <x:c r="M282" s="30" t="str"/>
      <x:c r="N282" s="30" t="str"/>
    </x:row>
    <x:row r="283">
      <x:c r="A283" s="30" t="str">
        <x:v>M09</x:v>
      </x:c>
      <x:c r="B283" s="30" t="str">
        <x:v>M09-F035</x:v>
      </x:c>
      <x:c r="C283" s="30" t="str">
        <x:v>P2</x:v>
      </x:c>
      <x:c r="D283" s="30" t="str">
        <x:v>KEEP</x:v>
      </x:c>
      <x:c r="E283" s="30" t="str">
        <x:v>I-WP10</x:v>
      </x:c>
      <x:c r="F283" s="30" t="str">
        <x:v>Kiên</x:v>
      </x:c>
      <x:c r="G283" s="30" t="str">
        <x:v>Bản đồ nhiệt theo khung giờ trong ngày</x:v>
      </x:c>
      <x:c r="H283" s="30" t="str">
        <x:v>`T08-07`</x:v>
      </x:c>
      <x:c r="I283" s="30" t="str">
        <x:v>Thắng</x:v>
      </x:c>
      <x:c r="J283" s="30" t="str">
        <x:v>☐</x:v>
      </x:c>
      <x:c r="K283" s="30" t="str">
        <x:v>Chưa bắt đầu</x:v>
      </x:c>
      <x:c r="L283" s="40" t="n">
        <x:f>IF(J283="☑",1,IF(K283="Done",1,IF(K283="Đang làm",0.5,IF(K283="Blocked",0.25,0))))</x:f>
        <x:v>0</x:v>
      </x:c>
      <x:c r="M283" s="30" t="str"/>
      <x:c r="N283" s="30" t="str"/>
    </x:row>
    <x:row r="284">
      <x:c r="A284" s="30" t="str">
        <x:v>M09</x:v>
      </x:c>
      <x:c r="B284" s="30" t="str">
        <x:v>M09-F036</x:v>
      </x:c>
      <x:c r="C284" s="30" t="str">
        <x:v>P2</x:v>
      </x:c>
      <x:c r="D284" s="30" t="str">
        <x:v>KEEP</x:v>
      </x:c>
      <x:c r="E284" s="30" t="str">
        <x:v>I-WP10</x:v>
      </x:c>
      <x:c r="F284" s="30" t="str">
        <x:v>Kiên</x:v>
      </x:c>
      <x:c r="G284" s="30" t="str">
        <x:v>Xuất dashboard ra PDF theo kỳ</x:v>
      </x:c>
      <x:c r="H284" s="30" t="str">
        <x:v>`T08-08`</x:v>
      </x:c>
      <x:c r="I284" s="30" t="str">
        <x:v>Thắng</x:v>
      </x:c>
      <x:c r="J284" s="30" t="str">
        <x:v>☐</x:v>
      </x:c>
      <x:c r="K284" s="30" t="str">
        <x:v>Chưa bắt đầu</x:v>
      </x:c>
      <x:c r="L284" s="40" t="n">
        <x:f>IF(J284="☑",1,IF(K284="Done",1,IF(K284="Đang làm",0.5,IF(K284="Blocked",0.25,0))))</x:f>
        <x:v>0</x:v>
      </x:c>
      <x:c r="M284" s="30" t="str"/>
      <x:c r="N284" s="30" t="str"/>
    </x:row>
    <x:row r="285">
      <x:c r="A285" s="30" t="str">
        <x:v>M09</x:v>
      </x:c>
      <x:c r="B285" s="30" t="str">
        <x:v>M09-F037</x:v>
      </x:c>
      <x:c r="C285" s="30" t="str">
        <x:v>P0</x:v>
      </x:c>
      <x:c r="D285" s="30" t="str">
        <x:v>ADD</x:v>
      </x:c>
      <x:c r="E285" s="30" t="str">
        <x:v>I-WP05</x:v>
      </x:c>
      <x:c r="F285" s="30" t="str">
        <x:v>Kiên</x:v>
      </x:c>
      <x:c r="G285" s="30" t="str">
        <x:v>Tách rõ `Rule Engine -&gt; RuleMatch[]/evidence`, `Risk Fusion -&gt; score/level`, `Result Composer -&gt; explanation/recommendation`.</x:v>
      </x:c>
      <x:c r="H285" s="30" t="str">
        <x:v>`ARCH-17 (Architecture V3.2)`</x:v>
      </x:c>
      <x:c r="I285" s="30" t="str">
        <x:v>—</x:v>
      </x:c>
      <x:c r="J285" s="30" t="str">
        <x:v>☐</x:v>
      </x:c>
      <x:c r="K285" s="30" t="str">
        <x:v>Chưa bắt đầu</x:v>
      </x:c>
      <x:c r="L285" s="40" t="n">
        <x:f>IF(J285="☑",1,IF(K285="Done",1,IF(K285="Đang làm",0.5,IF(K285="Blocked",0.25,0))))</x:f>
        <x:v>0</x:v>
      </x:c>
      <x:c r="M285" s="30" t="str"/>
      <x:c r="N285" s="30" t="str"/>
    </x:row>
    <x:row r="286">
      <x:c r="A286" s="30" t="str">
        <x:v>M09</x:v>
      </x:c>
      <x:c r="B286" s="30" t="str">
        <x:v>M09-F038</x:v>
      </x:c>
      <x:c r="C286" s="30" t="str">
        <x:v>P0</x:v>
      </x:c>
      <x:c r="D286" s="30" t="str">
        <x:v>ADD</x:v>
      </x:c>
      <x:c r="E286" s="30" t="str">
        <x:v>I-WP06</x:v>
      </x:c>
      <x:c r="F286" s="30" t="str">
        <x:v>Kiên</x:v>
      </x:c>
      <x:c r="G286" s="30" t="str">
        <x:v>`FusionPolicy` versioned/configurable theo scan profile; missing signal group phải renormalize trọng số thay vì xem như 0.</x:v>
      </x:c>
      <x:c r="H286" s="30" t="str">
        <x:v>`ARCH-18 (Architecture V3.2)`</x:v>
      </x:c>
      <x:c r="I286" s="30" t="str">
        <x:v>—</x:v>
      </x:c>
      <x:c r="J286" s="30" t="str">
        <x:v>☐</x:v>
      </x:c>
      <x:c r="K286" s="30" t="str">
        <x:v>Chưa bắt đầu</x:v>
      </x:c>
      <x:c r="L286" s="40" t="n">
        <x:f>IF(J286="☑",1,IF(K286="Done",1,IF(K286="Đang làm",0.5,IF(K286="Blocked",0.25,0))))</x:f>
        <x:v>0</x:v>
      </x:c>
      <x:c r="M286" s="30" t="str"/>
      <x:c r="N286" s="30" t="str"/>
    </x:row>
    <x:row r="287">
      <x:c r="A287" s="30" t="str">
        <x:v>M09</x:v>
      </x:c>
      <x:c r="B287" s="30" t="str">
        <x:v>M09-F039</x:v>
      </x:c>
      <x:c r="C287" s="30" t="str">
        <x:v>P0</x:v>
      </x:c>
      <x:c r="D287" s="30" t="str">
        <x:v>ADD</x:v>
      </x:c>
      <x:c r="E287" s="30" t="str">
        <x:v>I-WP06</x:v>
      </x:c>
      <x:c r="F287" s="30" t="str">
        <x:v>Kiên</x:v>
      </x:c>
      <x:c r="G287" s="30" t="str">
        <x:v>Initial threshold dùng `0-34 SAFE`, `35-69 CAUTION`, `70-100 DANGER`; hard override phải có evidence và nằm trong policy version.</x:v>
      </x:c>
      <x:c r="H287" s="30" t="str">
        <x:v>`ARCH-19 (Architecture V3.2)`</x:v>
      </x:c>
      <x:c r="I287" s="30" t="str">
        <x:v>—</x:v>
      </x:c>
      <x:c r="J287" s="30" t="str">
        <x:v>☐</x:v>
      </x:c>
      <x:c r="K287" s="30" t="str">
        <x:v>Chưa bắt đầu</x:v>
      </x:c>
      <x:c r="L287" s="40" t="n">
        <x:f>IF(J287="☑",1,IF(K287="Done",1,IF(K287="Đang làm",0.5,IF(K287="Blocked",0.25,0))))</x:f>
        <x:v>0</x:v>
      </x:c>
      <x:c r="M287" s="30" t="str"/>
      <x:c r="N287" s="30" t="str"/>
    </x:row>
    <x:row r="288">
      <x:c r="A288" s="30" t="str">
        <x:v>M10</x:v>
      </x:c>
      <x:c r="B288" s="30" t="str">
        <x:v>M10-F001</x:v>
      </x:c>
      <x:c r="C288" s="30" t="str">
        <x:v>P1</x:v>
      </x:c>
      <x:c r="D288" s="30" t="str">
        <x:v>KEEP</x:v>
      </x:c>
      <x:c r="E288" s="30" t="str">
        <x:v>H-WP08</x:v>
      </x:c>
      <x:c r="F288" s="30" t="str">
        <x:v>Hùng</x:v>
      </x:c>
      <x:c r="G288" s="30" t="str">
        <x:v>Thông báo trong ứng dụng khi báo cáo được duyệt hoặc bị từ chối</x:v>
      </x:c>
      <x:c r="H288" s="30" t="str">
        <x:v>`T09-01`</x:v>
      </x:c>
      <x:c r="I288" s="30" t="str">
        <x:v>Thắng</x:v>
      </x:c>
      <x:c r="J288" s="30" t="str">
        <x:v>☐</x:v>
      </x:c>
      <x:c r="K288" s="30" t="str">
        <x:v>Chưa bắt đầu</x:v>
      </x:c>
      <x:c r="L288" s="40" t="n">
        <x:f>IF(J288="☑",1,IF(K288="Done",1,IF(K288="Đang làm",0.5,IF(K288="Blocked",0.25,0))))</x:f>
        <x:v>0</x:v>
      </x:c>
      <x:c r="M288" s="30" t="str"/>
      <x:c r="N288" s="30" t="str"/>
    </x:row>
    <x:row r="289">
      <x:c r="A289" s="30" t="str">
        <x:v>M10</x:v>
      </x:c>
      <x:c r="B289" s="30" t="str">
        <x:v>M10-F002</x:v>
      </x:c>
      <x:c r="C289" s="30" t="str">
        <x:v>P1</x:v>
      </x:c>
      <x:c r="D289" s="30" t="str">
        <x:v>KEEP</x:v>
      </x:c>
      <x:c r="E289" s="30" t="str">
        <x:v>H-WP08</x:v>
      </x:c>
      <x:c r="F289" s="30" t="str">
        <x:v>Hùng</x:v>
      </x:c>
      <x:c r="G289" s="30" t="str">
        <x:v>Email thông báo kết quả xử lý báo cáo</x:v>
      </x:c>
      <x:c r="H289" s="30" t="str">
        <x:v>`T09-02`</x:v>
      </x:c>
      <x:c r="I289" s="30" t="str">
        <x:v>Thắng</x:v>
      </x:c>
      <x:c r="J289" s="30" t="str">
        <x:v>☐</x:v>
      </x:c>
      <x:c r="K289" s="30" t="str">
        <x:v>Chưa bắt đầu</x:v>
      </x:c>
      <x:c r="L289" s="40" t="n">
        <x:f>IF(J289="☑",1,IF(K289="Done",1,IF(K289="Đang làm",0.5,IF(K289="Blocked",0.25,0))))</x:f>
        <x:v>0</x:v>
      </x:c>
      <x:c r="M289" s="30" t="str"/>
      <x:c r="N289" s="30" t="str"/>
    </x:row>
    <x:row r="290">
      <x:c r="A290" s="30" t="str">
        <x:v>M10</x:v>
      </x:c>
      <x:c r="B290" s="30" t="str">
        <x:v>M10-F003</x:v>
      </x:c>
      <x:c r="C290" s="30" t="str">
        <x:v>P1</x:v>
      </x:c>
      <x:c r="D290" s="30" t="str">
        <x:v>MODIFY</x:v>
      </x:c>
      <x:c r="E290" s="30" t="str">
        <x:v>H-WP09</x:v>
      </x:c>
      <x:c r="F290" s="30" t="str">
        <x:v>Hùng</x:v>
      </x:c>
      <x:c r="G290" s="30" t="str">
        <x:v>Notification Delivery Worker xử lý bất đồng bộ; attempt đầu + tối đa 2 retry, exhausted -&gt; failed/DLQ; delivery failure không rollback business transaction.</x:v>
      </x:c>
      <x:c r="H290" s="30" t="str">
        <x:v>`T09-03 + V3.3`</x:v>
      </x:c>
      <x:c r="I290" s="30" t="str">
        <x:v>Thắng</x:v>
      </x:c>
      <x:c r="J290" s="30" t="str">
        <x:v>☐</x:v>
      </x:c>
      <x:c r="K290" s="30" t="str">
        <x:v>Chưa bắt đầu</x:v>
      </x:c>
      <x:c r="L290" s="40" t="n">
        <x:f>IF(J290="☑",1,IF(K290="Done",1,IF(K290="Đang làm",0.5,IF(K290="Blocked",0.25,0))))</x:f>
        <x:v>0</x:v>
      </x:c>
      <x:c r="M290" s="30" t="str"/>
      <x:c r="N290" s="30" t="str"/>
    </x:row>
    <x:row r="291">
      <x:c r="A291" s="30" t="str">
        <x:v>M10</x:v>
      </x:c>
      <x:c r="B291" s="30" t="str">
        <x:v>M10-F004</x:v>
      </x:c>
      <x:c r="C291" s="30" t="str">
        <x:v>P1</x:v>
      </x:c>
      <x:c r="D291" s="30" t="str">
        <x:v>KEEP</x:v>
      </x:c>
      <x:c r="E291" s="30" t="str">
        <x:v>H-WP08</x:v>
      </x:c>
      <x:c r="F291" s="30" t="str">
        <x:v>Hùng</x:v>
      </x:c>
      <x:c r="G291" s="30" t="str">
        <x:v>Trung tâm thông báo, đánh dấu đã đọc</x:v>
      </x:c>
      <x:c r="H291" s="30" t="str">
        <x:v>`T09-04`</x:v>
      </x:c>
      <x:c r="I291" s="30" t="str">
        <x:v>Thắng</x:v>
      </x:c>
      <x:c r="J291" s="30" t="str">
        <x:v>☐</x:v>
      </x:c>
      <x:c r="K291" s="30" t="str">
        <x:v>Chưa bắt đầu</x:v>
      </x:c>
      <x:c r="L291" s="40" t="n">
        <x:f>IF(J291="☑",1,IF(K291="Done",1,IF(K291="Đang làm",0.5,IF(K291="Blocked",0.25,0))))</x:f>
        <x:v>0</x:v>
      </x:c>
      <x:c r="M291" s="30" t="str"/>
      <x:c r="N291" s="30" t="str"/>
    </x:row>
    <x:row r="292">
      <x:c r="A292" s="30" t="str">
        <x:v>M10</x:v>
      </x:c>
      <x:c r="B292" s="30" t="str">
        <x:v>M10-F005</x:v>
      </x:c>
      <x:c r="C292" s="30" t="str">
        <x:v>P2</x:v>
      </x:c>
      <x:c r="D292" s="30" t="str">
        <x:v>KEEP</x:v>
      </x:c>
      <x:c r="E292" s="30" t="str">
        <x:v>H-WP08</x:v>
      </x:c>
      <x:c r="F292" s="30" t="str">
        <x:v>Hùng</x:v>
      </x:c>
      <x:c r="G292" s="30" t="str">
        <x:v>Push notification trên mobile</x:v>
      </x:c>
      <x:c r="H292" s="30" t="str">
        <x:v>`T09-05`</x:v>
      </x:c>
      <x:c r="I292" s="30" t="str">
        <x:v>Thắng</x:v>
      </x:c>
      <x:c r="J292" s="30" t="str">
        <x:v>☐</x:v>
      </x:c>
      <x:c r="K292" s="30" t="str">
        <x:v>Chưa bắt đầu</x:v>
      </x:c>
      <x:c r="L292" s="40" t="n">
        <x:f>IF(J292="☑",1,IF(K292="Done",1,IF(K292="Đang làm",0.5,IF(K292="Blocked",0.25,0))))</x:f>
        <x:v>0</x:v>
      </x:c>
      <x:c r="M292" s="30" t="str"/>
      <x:c r="N292" s="30" t="str"/>
    </x:row>
    <x:row r="293">
      <x:c r="A293" s="30" t="str">
        <x:v>M10</x:v>
      </x:c>
      <x:c r="B293" s="30" t="str">
        <x:v>M10-F006</x:v>
      </x:c>
      <x:c r="C293" s="30" t="str">
        <x:v>P2</x:v>
      </x:c>
      <x:c r="D293" s="30" t="str">
        <x:v>KEEP</x:v>
      </x:c>
      <x:c r="E293" s="30" t="str">
        <x:v>H-WP08</x:v>
      </x:c>
      <x:c r="F293" s="30" t="str">
        <x:v>Hùng</x:v>
      </x:c>
      <x:c r="G293" s="30" t="str">
        <x:v>Cảnh báo chủ động khi entity người dùng từng quét bị nâng lên `DANGER`</x:v>
      </x:c>
      <x:c r="H293" s="30" t="str">
        <x:v>`T09-06`</x:v>
      </x:c>
      <x:c r="I293" s="30" t="str">
        <x:v>Thắng</x:v>
      </x:c>
      <x:c r="J293" s="30" t="str">
        <x:v>☐</x:v>
      </x:c>
      <x:c r="K293" s="30" t="str">
        <x:v>Chưa bắt đầu</x:v>
      </x:c>
      <x:c r="L293" s="40" t="n">
        <x:f>IF(J293="☑",1,IF(K293="Done",1,IF(K293="Đang làm",0.5,IF(K293="Blocked",0.25,0))))</x:f>
        <x:v>0</x:v>
      </x:c>
      <x:c r="M293" s="30" t="str"/>
      <x:c r="N293" s="30" t="str"/>
    </x:row>
    <x:row r="294">
      <x:c r="A294" s="30" t="str">
        <x:v>M10</x:v>
      </x:c>
      <x:c r="B294" s="30" t="str">
        <x:v>M10-F007</x:v>
      </x:c>
      <x:c r="C294" s="30" t="str">
        <x:v>P2</x:v>
      </x:c>
      <x:c r="D294" s="30" t="str">
        <x:v>KEEP</x:v>
      </x:c>
      <x:c r="E294" s="30" t="str">
        <x:v>H-WP08</x:v>
      </x:c>
      <x:c r="F294" s="30" t="str">
        <x:v>Hùng</x:v>
      </x:c>
      <x:c r="G294" s="30" t="str">
        <x:v>Bản tin tuần về xu hướng lừa đảo mới</x:v>
      </x:c>
      <x:c r="H294" s="30" t="str">
        <x:v>`T09-07`</x:v>
      </x:c>
      <x:c r="I294" s="30" t="str">
        <x:v>Thắng</x:v>
      </x:c>
      <x:c r="J294" s="30" t="str">
        <x:v>☐</x:v>
      </x:c>
      <x:c r="K294" s="30" t="str">
        <x:v>Chưa bắt đầu</x:v>
      </x:c>
      <x:c r="L294" s="40" t="n">
        <x:f>IF(J294="☑",1,IF(K294="Done",1,IF(K294="Đang làm",0.5,IF(K294="Blocked",0.25,0))))</x:f>
        <x:v>0</x:v>
      </x:c>
      <x:c r="M294" s="30" t="str"/>
      <x:c r="N294" s="30" t="str"/>
    </x:row>
    <x:row r="295">
      <x:c r="A295" s="30" t="str">
        <x:v>M10</x:v>
      </x:c>
      <x:c r="B295" s="30" t="str">
        <x:v>M10-F008</x:v>
      </x:c>
      <x:c r="C295" s="30" t="str">
        <x:v>P1</x:v>
      </x:c>
      <x:c r="D295" s="30" t="str">
        <x:v>MODIFY</x:v>
      </x:c>
      <x:c r="E295" s="30" t="str">
        <x:v>H-WP10</x:v>
      </x:c>
      <x:c r="F295" s="30" t="str">
        <x:v>Hùng</x:v>
      </x:c>
      <x:c r="G295" s="30" t="str">
        <x:v>Producer/domain event được chuẩn hoá thành `notification.requested`; M10 resolve policy/channel/template rồi dispatch delivery, không để notification logic rải rác trong scan/report/auth module.</x:v>
      </x:c>
      <x:c r="H295" s="30" t="str">
        <x:v>`ARCH-V3.3-M10`</x:v>
      </x:c>
      <x:c r="I295" s="30" t="str">
        <x:v>—</x:v>
      </x:c>
      <x:c r="J295" s="30" t="str">
        <x:v>☐</x:v>
      </x:c>
      <x:c r="K295" s="30" t="str">
        <x:v>Chưa bắt đầu</x:v>
      </x:c>
      <x:c r="L295" s="40" t="n">
        <x:f>IF(J295="☑",1,IF(K295="Done",1,IF(K295="Đang làm",0.5,IF(K295="Blocked",0.25,0))))</x:f>
        <x:v>0</x:v>
      </x:c>
      <x:c r="M295" s="30" t="str"/>
      <x:c r="N295" s="30" t="str"/>
    </x:row>
    <x:row r="296">
      <x:c r="A296" s="30" t="str">
        <x:v>M10</x:v>
      </x:c>
      <x:c r="B296" s="30" t="str">
        <x:v>M10-F009</x:v>
      </x:c>
      <x:c r="C296" s="30" t="str">
        <x:v>P1</x:v>
      </x:c>
      <x:c r="D296" s="30" t="str">
        <x:v>MODIFY</x:v>
      </x:c>
      <x:c r="E296" s="30" t="str">
        <x:v>H-WP09</x:v>
      </x:c>
      <x:c r="F296" s="30" t="str">
        <x:v>Hùng</x:v>
      </x:c>
      <x:c r="G296" s="30" t="str">
        <x:v>Notification consumer idempotent theo `idempotencyKey`/event-recipient; provider retry bounded và không tạo duplicate user-visible message khi provider đầu đã xác nhận success.</x:v>
      </x:c>
      <x:c r="H296" s="30" t="str">
        <x:v>`ARCH-V3.3-M10`</x:v>
      </x:c>
      <x:c r="I296" s="30" t="str">
        <x:v>—</x:v>
      </x:c>
      <x:c r="J296" s="30" t="str">
        <x:v>☐</x:v>
      </x:c>
      <x:c r="K296" s="30" t="str">
        <x:v>Chưa bắt đầu</x:v>
      </x:c>
      <x:c r="L296" s="40" t="n">
        <x:f>IF(J296="☑",1,IF(K296="Done",1,IF(K296="Đang làm",0.5,IF(K296="Blocked",0.25,0))))</x:f>
        <x:v>0</x:v>
      </x:c>
      <x:c r="M296" s="30" t="str"/>
      <x:c r="N296" s="30" t="str"/>
    </x:row>
    <x:row r="297">
      <x:c r="A297" s="30" t="str">
        <x:v>M10</x:v>
      </x:c>
      <x:c r="B297" s="30" t="str">
        <x:v>M10-F010</x:v>
      </x:c>
      <x:c r="C297" s="30" t="str">
        <x:v>P0</x:v>
      </x:c>
      <x:c r="D297" s="30" t="str">
        <x:v>ADD</x:v>
      </x:c>
      <x:c r="E297" s="30" t="str">
        <x:v>H-WP10</x:v>
      </x:c>
      <x:c r="F297" s="30" t="str">
        <x:v>Hùng</x:v>
      </x:c>
      <x:c r="G297" s="30" t="str">
        <x:v>Transactional auth notification types cho `AUTH_EMAIL_VERIFICATION`, `AUTH_PASSWORD_RESET`, `AUTH_PASSWORD_CHANGE_OTP`, `AUTH_PASSWORD_CHANGED`; M10 chỉ deliver, M01 mới verify/consume challenge.</x:v>
      </x:c>
      <x:c r="H297" s="30" t="str">
        <x:v>`MODSPEC-V1.3-M10`</x:v>
      </x:c>
      <x:c r="I297" s="30" t="str">
        <x:v>—</x:v>
      </x:c>
      <x:c r="J297" s="30" t="str">
        <x:v>☐</x:v>
      </x:c>
      <x:c r="K297" s="30" t="str">
        <x:v>Chưa bắt đầu</x:v>
      </x:c>
      <x:c r="L297" s="40" t="n">
        <x:f>IF(J297="☑",1,IF(K297="Done",1,IF(K297="Đang làm",0.5,IF(K297="Blocked",0.25,0))))</x:f>
        <x:v>0</x:v>
      </x:c>
      <x:c r="M297" s="30" t="str"/>
      <x:c r="N297" s="30" t="str"/>
    </x:row>
    <x:row r="298">
      <x:c r="A298" s="30" t="str">
        <x:v>M10</x:v>
      </x:c>
      <x:c r="B298" s="30" t="str">
        <x:v>M10-F011</x:v>
      </x:c>
      <x:c r="C298" s="30" t="str">
        <x:v>P0</x:v>
      </x:c>
      <x:c r="D298" s="30" t="str">
        <x:v>ADD</x:v>
      </x:c>
      <x:c r="E298" s="30" t="str">
        <x:v>H-WP10</x:v>
      </x:c>
      <x:c r="F298" s="30" t="str">
        <x:v>Hùng</x:v>
      </x:c>
      <x:c r="G298" s="30" t="str">
        <x:v>Canonical `NotificationRequest` có `eventId`, `correlationId`, `notificationType`, recipient, `channelHints[]`, `templateKey`, `templateData`, resource/deep-link, priority, idempotencyKey, expiresAt.</x:v>
      </x:c>
      <x:c r="H298" s="30" t="str">
        <x:v>`MODSPEC-V1.3-M10`</x:v>
      </x:c>
      <x:c r="I298" s="30" t="str">
        <x:v>—</x:v>
      </x:c>
      <x:c r="J298" s="30" t="str">
        <x:v>☐</x:v>
      </x:c>
      <x:c r="K298" s="30" t="str">
        <x:v>Chưa bắt đầu</x:v>
      </x:c>
      <x:c r="L298" s="40" t="n">
        <x:f>IF(J298="☑",1,IF(K298="Done",1,IF(K298="Đang làm",0.5,IF(K298="Blocked",0.25,0))))</x:f>
        <x:v>0</x:v>
      </x:c>
      <x:c r="M298" s="30" t="str"/>
      <x:c r="N298" s="30" t="str"/>
    </x:row>
    <x:row r="299">
      <x:c r="A299" s="30" t="str">
        <x:v>M10</x:v>
      </x:c>
      <x:c r="B299" s="30" t="str">
        <x:v>M10-F012</x:v>
      </x:c>
      <x:c r="C299" s="30" t="str">
        <x:v>P0</x:v>
      </x:c>
      <x:c r="D299" s="30" t="str">
        <x:v>ADD</x:v>
      </x:c>
      <x:c r="E299" s="30" t="str">
        <x:v>H-WP10</x:v>
      </x:c>
      <x:c r="F299" s="30" t="str">
        <x:v>Hùng</x:v>
      </x:c>
      <x:c r="G299" s="30" t="str">
        <x:v>Tách `channelKey` khỏi `providerKey`; dùng Channel Resolver + Provider Adapter Registry để thay/add provider mà producer contract không đổi.</x:v>
      </x:c>
      <x:c r="H299" s="30" t="str">
        <x:v>`ARCH-V3.3-M10`</x:v>
      </x:c>
      <x:c r="I299" s="30" t="str">
        <x:v>—</x:v>
      </x:c>
      <x:c r="J299" s="30" t="str">
        <x:v>☐</x:v>
      </x:c>
      <x:c r="K299" s="30" t="str">
        <x:v>Chưa bắt đầu</x:v>
      </x:c>
      <x:c r="L299" s="40" t="n">
        <x:f>IF(J299="☑",1,IF(K299="Done",1,IF(K299="Đang làm",0.5,IF(K299="Blocked",0.25,0))))</x:f>
        <x:v>0</x:v>
      </x:c>
      <x:c r="M299" s="30" t="str"/>
      <x:c r="N299" s="30" t="str"/>
    </x:row>
    <x:row r="300">
      <x:c r="A300" s="30" t="str">
        <x:v>M10</x:v>
      </x:c>
      <x:c r="B300" s="30" t="str">
        <x:v>M10-F013</x:v>
      </x:c>
      <x:c r="C300" s="30" t="str">
        <x:v>P1</x:v>
      </x:c>
      <x:c r="D300" s="30" t="str">
        <x:v>ADD</x:v>
      </x:c>
      <x:c r="E300" s="30" t="str">
        <x:v>H-WP11</x:v>
      </x:c>
      <x:c r="F300" s="30" t="str">
        <x:v>Hùng</x:v>
      </x:c>
      <x:c r="G300" s="30" t="str">
        <x:v>Quản lý `notification_endpoints` generic theo channel (email, phone, push token, Telegram chat id, ...), hỗ trợ verify/enable/disable và bảo vệ address value.</x:v>
      </x:c>
      <x:c r="H300" s="30" t="str">
        <x:v>`SCHEMA-V1.0 + MODSPEC-V1.3`</x:v>
      </x:c>
      <x:c r="I300" s="30" t="str">
        <x:v>—</x:v>
      </x:c>
      <x:c r="J300" s="30" t="str">
        <x:v>☐</x:v>
      </x:c>
      <x:c r="K300" s="30" t="str">
        <x:v>Chưa bắt đầu</x:v>
      </x:c>
      <x:c r="L300" s="40" t="n">
        <x:f>IF(J300="☑",1,IF(K300="Done",1,IF(K300="Đang làm",0.5,IF(K300="Blocked",0.25,0))))</x:f>
        <x:v>0</x:v>
      </x:c>
      <x:c r="M300" s="30" t="str"/>
      <x:c r="N300" s="30" t="str"/>
    </x:row>
    <x:row r="301">
      <x:c r="A301" s="30" t="str">
        <x:v>M10</x:v>
      </x:c>
      <x:c r="B301" s="30" t="str">
        <x:v>M10-F014</x:v>
      </x:c>
      <x:c r="C301" s="30" t="str">
        <x:v>P1</x:v>
      </x:c>
      <x:c r="D301" s="30" t="str">
        <x:v>ADD</x:v>
      </x:c>
      <x:c r="E301" s="30" t="str">
        <x:v>H-WP11</x:v>
      </x:c>
      <x:c r="F301" s="30" t="str">
        <x:v>Hùng</x:v>
      </x:c>
      <x:c r="G301" s="30" t="str">
        <x:v>Notification preferences theo notification type/channel; mandatory security notification không được user tắt nếu policy yêu cầu.</x:v>
      </x:c>
      <x:c r="H301" s="30" t="str">
        <x:v>`MODSPEC-V1.3-M10`</x:v>
      </x:c>
      <x:c r="I301" s="30" t="str">
        <x:v>—</x:v>
      </x:c>
      <x:c r="J301" s="30" t="str">
        <x:v>☐</x:v>
      </x:c>
      <x:c r="K301" s="30" t="str">
        <x:v>Chưa bắt đầu</x:v>
      </x:c>
      <x:c r="L301" s="40" t="n">
        <x:f>IF(J301="☑",1,IF(K301="Done",1,IF(K301="Đang làm",0.5,IF(K301="Blocked",0.25,0))))</x:f>
        <x:v>0</x:v>
      </x:c>
      <x:c r="M301" s="30" t="str"/>
      <x:c r="N301" s="30" t="str"/>
    </x:row>
    <x:row r="302">
      <x:c r="A302" s="30" t="str">
        <x:v>M10</x:v>
      </x:c>
      <x:c r="B302" s="30" t="str">
        <x:v>M10-F015</x:v>
      </x:c>
      <x:c r="C302" s="30" t="str">
        <x:v>P1</x:v>
      </x:c>
      <x:c r="D302" s="30" t="str">
        <x:v>ADD</x:v>
      </x:c>
      <x:c r="E302" s="30" t="str">
        <x:v>H-WP11</x:v>
      </x:c>
      <x:c r="F302" s="30" t="str">
        <x:v>Hùng</x:v>
      </x:c>
      <x:c r="G302" s="30" t="str">
        <x:v>Template resolution bằng `templateKey`, deep-link/resource metadata và authorize lại khi user mở deep link.</x:v>
      </x:c>
      <x:c r="H302" s="30" t="str">
        <x:v>`MODSPEC-V1.3-M10`</x:v>
      </x:c>
      <x:c r="I302" s="30" t="str">
        <x:v>—</x:v>
      </x:c>
      <x:c r="J302" s="30" t="str">
        <x:v>☐</x:v>
      </x:c>
      <x:c r="K302" s="30" t="str">
        <x:v>Chưa bắt đầu</x:v>
      </x:c>
      <x:c r="L302" s="40" t="n">
        <x:f>IF(J302="☑",1,IF(K302="Done",1,IF(K302="Đang làm",0.5,IF(K302="Blocked",0.25,0))))</x:f>
        <x:v>0</x:v>
      </x:c>
      <x:c r="M302" s="30" t="str"/>
      <x:c r="N302" s="30" t="str"/>
    </x:row>
    <x:row r="303">
      <x:c r="A303" s="30" t="str">
        <x:v>M10</x:v>
      </x:c>
      <x:c r="B303" s="30" t="str">
        <x:v>M10-F016</x:v>
      </x:c>
      <x:c r="C303" s="30" t="str">
        <x:v>P0</x:v>
      </x:c>
      <x:c r="D303" s="30" t="str">
        <x:v>ADD</x:v>
      </x:c>
      <x:c r="E303" s="30" t="str">
        <x:v>H-WP11</x:v>
      </x:c>
      <x:c r="F303" s="30" t="str">
        <x:v>Hùng</x:v>
      </x:c>
      <x:c r="G303" s="30" t="str">
        <x:v>Raw OTP/credential chỉ được truyền transient/encrypted khi cần; không persist/log trong `notification_jobs`, `notification_deliveries`, audit hoặc DLQ lâu dài; message hết `expiresAt` không được gửi.</x:v>
      </x:c>
      <x:c r="H303" s="30" t="str">
        <x:v>`ARCH-V3.3 + MODSPEC-V1.3`</x:v>
      </x:c>
      <x:c r="I303" s="30" t="str">
        <x:v>—</x:v>
      </x:c>
      <x:c r="J303" s="30" t="str">
        <x:v>☐</x:v>
      </x:c>
      <x:c r="K303" s="30" t="str">
        <x:v>Chưa bắt đầu</x:v>
      </x:c>
      <x:c r="L303" s="40" t="n">
        <x:f>IF(J303="☑",1,IF(K303="Done",1,IF(K303="Đang làm",0.5,IF(K303="Blocked",0.25,0))))</x:f>
        <x:v>0</x:v>
      </x:c>
      <x:c r="M303" s="30" t="str"/>
      <x:c r="N303" s="30" t="str"/>
    </x:row>
    <x:row r="304">
      <x:c r="A304" s="30" t="str">
        <x:v>M10</x:v>
      </x:c>
      <x:c r="B304" s="30" t="str">
        <x:v>M10-F017</x:v>
      </x:c>
      <x:c r="C304" s="30" t="str">
        <x:v>P1</x:v>
      </x:c>
      <x:c r="D304" s="30" t="str">
        <x:v>ADD</x:v>
      </x:c>
      <x:c r="E304" s="30" t="str">
        <x:v>H-WP09</x:v>
      </x:c>
      <x:c r="F304" s="30" t="str">
        <x:v>Hùng</x:v>
      </x:c>
      <x:c r="G304" s="30" t="str">
        <x:v>Theo dõi delivery attempt/status/provider/external message id/sanitized error; provider fallback nếu policy cho phép nhưng không phát duplicate sau success.</x:v>
      </x:c>
      <x:c r="H304" s="30" t="str">
        <x:v>`MODSPEC-V1.3-M10`</x:v>
      </x:c>
      <x:c r="I304" s="30" t="str">
        <x:v>—</x:v>
      </x:c>
      <x:c r="J304" s="30" t="str">
        <x:v>☐</x:v>
      </x:c>
      <x:c r="K304" s="30" t="str">
        <x:v>Chưa bắt đầu</x:v>
      </x:c>
      <x:c r="L304" s="40" t="n">
        <x:f>IF(J304="☑",1,IF(K304="Done",1,IF(K304="Đang làm",0.5,IF(K304="Blocked",0.25,0))))</x:f>
        <x:v>0</x:v>
      </x:c>
      <x:c r="M304" s="30" t="str"/>
      <x:c r="N304" s="30" t="str"/>
    </x:row>
    <x:row r="305">
      <x:c r="A305" s="30" t="str">
        <x:v>M10</x:v>
      </x:c>
      <x:c r="B305" s="30" t="str">
        <x:v>M10-F018</x:v>
      </x:c>
      <x:c r="C305" s="30" t="str">
        <x:v>P2</x:v>
      </x:c>
      <x:c r="D305" s="30" t="str">
        <x:v>ADD</x:v>
      </x:c>
      <x:c r="E305" s="30" t="str">
        <x:v>H-WP11</x:v>
      </x:c>
      <x:c r="F305" s="30" t="str">
        <x:v>Hùng</x:v>
      </x:c>
      <x:c r="G305" s="30" t="str">
        <x:v>Bổ sung channel tương lai như SMS/Telegram/WhatsApp/Zalo/Discord bằng adapter/config + endpoint/template capability, không sửa schema business event của producer.</x:v>
      </x:c>
      <x:c r="H305" s="30" t="str">
        <x:v>`ARCH-V3.3-M10`</x:v>
      </x:c>
      <x:c r="I305" s="30" t="str">
        <x:v>—</x:v>
      </x:c>
      <x:c r="J305" s="30" t="str">
        <x:v>☐</x:v>
      </x:c>
      <x:c r="K305" s="30" t="str">
        <x:v>Chưa bắt đầu</x:v>
      </x:c>
      <x:c r="L305" s="40" t="n">
        <x:f>IF(J305="☑",1,IF(K305="Done",1,IF(K305="Đang làm",0.5,IF(K305="Blocked",0.25,0))))</x:f>
        <x:v>0</x:v>
      </x:c>
      <x:c r="M305" s="30" t="str"/>
      <x:c r="N305" s="30" t="str"/>
    </x:row>
    <x:row r="306">
      <x:c r="A306" s="30" t="str">
        <x:v>M11</x:v>
      </x:c>
      <x:c r="B306" s="30" t="str">
        <x:v>M11-F001</x:v>
      </x:c>
      <x:c r="C306" s="30" t="str">
        <x:v>P0</x:v>
      </x:c>
      <x:c r="D306" s="30" t="str">
        <x:v>MODIFY</x:v>
      </x:c>
      <x:c r="E306" s="30" t="str">
        <x:v>T-WP15</x:v>
      </x:c>
      <x:c r="F306" s="30" t="str">
        <x:v>Thắng</x:v>
      </x:c>
      <x:c r="G306" s="30" t="str">
        <x:v>Triển khai **Python AI/ML Worker** consume `q.ai.analyze`; FastAPI nếu giữ chỉ dùng `/health`, `/ready`, diagnostics nội bộ, không phải đường inference của scan.</x:v>
      </x:c>
      <x:c r="H306" s="30" t="str">
        <x:v>`ARCH/V3.2 + H11-01`</x:v>
      </x:c>
      <x:c r="I306" s="30" t="str">
        <x:v>Hùng</x:v>
      </x:c>
      <x:c r="J306" s="30" t="str">
        <x:v>☐</x:v>
      </x:c>
      <x:c r="K306" s="30" t="str">
        <x:v>Chưa bắt đầu</x:v>
      </x:c>
      <x:c r="L306" s="40" t="n">
        <x:f>IF(J306="☑",1,IF(K306="Done",1,IF(K306="Đang làm",0.5,IF(K306="Blocked",0.25,0))))</x:f>
        <x:v>0</x:v>
      </x:c>
      <x:c r="M306" s="30" t="str"/>
      <x:c r="N306" s="30" t="str"/>
    </x:row>
    <x:row r="307">
      <x:c r="A307" s="30" t="str">
        <x:v>M11</x:v>
      </x:c>
      <x:c r="B307" s="30" t="str">
        <x:v>M11-F002</x:v>
      </x:c>
      <x:c r="C307" s="30" t="str">
        <x:v>P1</x:v>
      </x:c>
      <x:c r="D307" s="30" t="str">
        <x:v>MODIFY</x:v>
      </x:c>
      <x:c r="E307" s="30" t="str">
        <x:v>T-WP15</x:v>
      </x:c>
      <x:c r="F307" s="30" t="str">
        <x:v>Thắng</x:v>
      </x:c>
      <x:c r="G307" s="30" t="str">
        <x:v>Feature flag `ai.enabled`; AI fail/quá `aiTaskDeadline` thì M12 finalize bằng tín hiệu còn lại với `degraded=true`, M09 renormalize thay vì coi AI = 0.</x:v>
      </x:c>
      <x:c r="H307" s="30" t="str">
        <x:v>`ARCH/V3.2 + H11-02`</x:v>
      </x:c>
      <x:c r="I307" s="30" t="str">
        <x:v>Hùng</x:v>
      </x:c>
      <x:c r="J307" s="30" t="str">
        <x:v>☐</x:v>
      </x:c>
      <x:c r="K307" s="30" t="str">
        <x:v>Chưa bắt đầu</x:v>
      </x:c>
      <x:c r="L307" s="40" t="n">
        <x:f>IF(J307="☑",1,IF(K307="Done",1,IF(K307="Đang làm",0.5,IF(K307="Blocked",0.25,0))))</x:f>
        <x:v>0</x:v>
      </x:c>
      <x:c r="M307" s="30" t="str"/>
      <x:c r="N307" s="30" t="str"/>
    </x:row>
    <x:row r="308">
      <x:c r="A308" s="30" t="str">
        <x:v>M11</x:v>
      </x:c>
      <x:c r="B308" s="30" t="str">
        <x:v>M11-F003</x:v>
      </x:c>
      <x:c r="C308" s="30" t="str">
        <x:v>P0</x:v>
      </x:c>
      <x:c r="D308" s="30" t="str">
        <x:v>MODIFY</x:v>
      </x:c>
      <x:c r="E308" s="30" t="str">
        <x:v>T-WP15</x:v>
      </x:c>
      <x:c r="F308" s="30" t="str">
        <x:v>Thắng</x:v>
      </x:c>
      <x:c r="G308" s="30" t="str">
        <x:v>AI Worker publish `ai.analysis.completed\</x:v>
      </x:c>
      <x:c r="H308" s="30" t="str">
        <x:v>failed` vào `q.scan.result`; prediction normalized gồm `label`, `probability`, `providerKey`, `modelId`, `modelVersion`, `latencyMs`, không chứa `riskScore`/`riskLevel`.</x:v>
      </x:c>
      <x:c r="I308" s="30" t="str">
        <x:v>`ARCH-V3.3 + H11-03`</x:v>
      </x:c>
      <x:c r="J308" s="30" t="str">
        <x:v>☐</x:v>
      </x:c>
      <x:c r="K308" s="30" t="str">
        <x:v>Chưa bắt đầu</x:v>
      </x:c>
      <x:c r="L308" s="40" t="n">
        <x:f>IF(J308="☑",1,IF(K308="Done",1,IF(K308="Đang làm",0.5,IF(K308="Blocked",0.25,0))))</x:f>
        <x:v>0</x:v>
      </x:c>
      <x:c r="M308" s="30" t="str"/>
      <x:c r="N308" s="30" t="str"/>
    </x:row>
    <x:row r="309">
      <x:c r="A309" s="30" t="str">
        <x:v>M11</x:v>
      </x:c>
      <x:c r="B309" s="30" t="str">
        <x:v>M11-F004</x:v>
      </x:c>
      <x:c r="C309" s="30" t="str">
        <x:v>P0</x:v>
      </x:c>
      <x:c r="D309" s="30" t="str">
        <x:v>MODIFY</x:v>
      </x:c>
      <x:c r="E309" s="30" t="str">
        <x:v>T-WP15</x:v>
      </x:c>
      <x:c r="F309" s="30" t="str">
        <x:v>Thắng</x:v>
      </x:c>
      <x:c r="G309" s="30" t="str">
        <x:v>AI task/result contract versioned có `eventId`, `correlationId`, `scanId`, `taskId`, `kind`, `deadlineAt`; consumer idempotent theo `eventId` + `taskId`.</x:v>
      </x:c>
      <x:c r="H309" s="30" t="str">
        <x:v>`ARCH/V3.2 + H11-04`</x:v>
      </x:c>
      <x:c r="I309" s="30" t="str">
        <x:v>Hùng</x:v>
      </x:c>
      <x:c r="J309" s="30" t="str">
        <x:v>☐</x:v>
      </x:c>
      <x:c r="K309" s="30" t="str">
        <x:v>Chưa bắt đầu</x:v>
      </x:c>
      <x:c r="L309" s="40" t="n">
        <x:f>IF(J309="☑",1,IF(K309="Done",1,IF(K309="Đang làm",0.5,IF(K309="Blocked",0.25,0))))</x:f>
        <x:v>0</x:v>
      </x:c>
      <x:c r="M309" s="30" t="str"/>
      <x:c r="N309" s="30" t="str"/>
    </x:row>
    <x:row r="310">
      <x:c r="A310" s="30" t="str">
        <x:v>M11</x:v>
      </x:c>
      <x:c r="B310" s="30" t="str">
        <x:v>M11-F005</x:v>
      </x:c>
      <x:c r="C310" s="30" t="str">
        <x:v>P1</x:v>
      </x:c>
      <x:c r="D310" s="30" t="str">
        <x:v>MODIFY</x:v>
      </x:c>
      <x:c r="E310" s="30" t="str">
        <x:v>T-WP15</x:v>
      </x:c>
      <x:c r="F310" s="30" t="str">
        <x:v>Thắng</x:v>
      </x:c>
      <x:c r="G310" s="30" t="str">
        <x:v>M12/Spring Boot ghép AI result theo `scanId + taskId`, chuyển prediction thành AI `AnalysisSignal`, quản lý barrier rồi mới gọi M09 Risk Fusion.</x:v>
      </x:c>
      <x:c r="H310" s="30" t="str">
        <x:v>`ARCH/V3.2 + H11-05`</x:v>
      </x:c>
      <x:c r="I310" s="30" t="str">
        <x:v>Hùng</x:v>
      </x:c>
      <x:c r="J310" s="30" t="str">
        <x:v>☐</x:v>
      </x:c>
      <x:c r="K310" s="30" t="str">
        <x:v>Chưa bắt đầu</x:v>
      </x:c>
      <x:c r="L310" s="40" t="n">
        <x:f>IF(J310="☑",1,IF(K310="Done",1,IF(K310="Đang làm",0.5,IF(K310="Blocked",0.25,0))))</x:f>
        <x:v>0</x:v>
      </x:c>
      <x:c r="M310" s="30" t="str"/>
      <x:c r="N310" s="30" t="str"/>
    </x:row>
    <x:row r="311">
      <x:c r="A311" s="30" t="str">
        <x:v>M11</x:v>
      </x:c>
      <x:c r="B311" s="30" t="str">
        <x:v>M11-F006</x:v>
      </x:c>
      <x:c r="C311" s="30" t="str">
        <x:v>P1</x:v>
      </x:c>
      <x:c r="D311" s="30" t="str">
        <x:v>MODIFY</x:v>
      </x:c>
      <x:c r="E311" s="30" t="str">
        <x:v>T-WP15</x:v>
      </x:c>
      <x:c r="F311" s="30" t="str">
        <x:v>Thắng</x:v>
      </x:c>
      <x:c r="G311" s="30" t="str">
        <x:v>Mask/minimize PII trong AI payload; AI Worker không đọc/ghi PostgreSQL/Redis/business tables và không gọi Spring Boot API.</x:v>
      </x:c>
      <x:c r="H311" s="30" t="str">
        <x:v>`ARCH/V3.2 + H11-06`</x:v>
      </x:c>
      <x:c r="I311" s="30" t="str">
        <x:v>Hùng</x:v>
      </x:c>
      <x:c r="J311" s="30" t="str">
        <x:v>☐</x:v>
      </x:c>
      <x:c r="K311" s="30" t="str">
        <x:v>Chưa bắt đầu</x:v>
      </x:c>
      <x:c r="L311" s="40" t="n">
        <x:f>IF(J311="☑",1,IF(K311="Done",1,IF(K311="Đang làm",0.5,IF(K311="Blocked",0.25,0))))</x:f>
        <x:v>0</x:v>
      </x:c>
      <x:c r="M311" s="30" t="str"/>
      <x:c r="N311" s="30" t="str"/>
    </x:row>
    <x:row r="312">
      <x:c r="A312" s="30" t="str">
        <x:v>M11</x:v>
      </x:c>
      <x:c r="B312" s="30" t="str">
        <x:v>M11-F007</x:v>
      </x:c>
      <x:c r="C312" s="30" t="str">
        <x:v>P2</x:v>
      </x:c>
      <x:c r="D312" s="30" t="str">
        <x:v>MODIFY</x:v>
      </x:c>
      <x:c r="E312" s="30" t="str">
        <x:v>T-WP17</x:v>
      </x:c>
      <x:c r="F312" s="30" t="str">
        <x:v>Thắng</x:v>
      </x:c>
      <x:c r="G312" s="30" t="str">
        <x:v>Nếu dùng LLM/provider ngoài, chống prompt injection và ràng buộc output; LLM/model không được tự thay đổi business verdict.</x:v>
      </x:c>
      <x:c r="H312" s="30" t="str">
        <x:v>`ARCH/V3.2 + H11-07`</x:v>
      </x:c>
      <x:c r="I312" s="30" t="str">
        <x:v>Hùng</x:v>
      </x:c>
      <x:c r="J312" s="30" t="str">
        <x:v>☐</x:v>
      </x:c>
      <x:c r="K312" s="30" t="str">
        <x:v>Chưa bắt đầu</x:v>
      </x:c>
      <x:c r="L312" s="40" t="n">
        <x:f>IF(J312="☑",1,IF(K312="Done",1,IF(K312="Đang làm",0.5,IF(K312="Blocked",0.25,0))))</x:f>
        <x:v>0</x:v>
      </x:c>
      <x:c r="M312" s="30" t="str"/>
      <x:c r="N312" s="30" t="str"/>
    </x:row>
    <x:row r="313">
      <x:c r="A313" s="30" t="str">
        <x:v>M11</x:v>
      </x:c>
      <x:c r="B313" s="30" t="str">
        <x:v>M11-F008</x:v>
      </x:c>
      <x:c r="C313" s="30" t="str">
        <x:v>P2</x:v>
      </x:c>
      <x:c r="D313" s="30" t="str">
        <x:v>MODIFY</x:v>
      </x:c>
      <x:c r="E313" s="30" t="str">
        <x:v>T-WP17</x:v>
      </x:c>
      <x:c r="F313" s="30" t="str">
        <x:v>Thắng</x:v>
      </x:c>
      <x:c r="G313" s="30" t="str">
        <x:v>Có thể cache inference theo input/model version nếu phù hợp; cache không được thay thế task/result/idempotency contract hoặc làm stale safety signal.</x:v>
      </x:c>
      <x:c r="H313" s="30" t="str">
        <x:v>`ARCH/V3.2 + H11-08`</x:v>
      </x:c>
      <x:c r="I313" s="30" t="str">
        <x:v>Hùng</x:v>
      </x:c>
      <x:c r="J313" s="30" t="str">
        <x:v>☐</x:v>
      </x:c>
      <x:c r="K313" s="30" t="str">
        <x:v>Chưa bắt đầu</x:v>
      </x:c>
      <x:c r="L313" s="40" t="n">
        <x:f>IF(J313="☑",1,IF(K313="Done",1,IF(K313="Đang làm",0.5,IF(K313="Blocked",0.25,0))))</x:f>
        <x:v>0</x:v>
      </x:c>
      <x:c r="M313" s="30" t="str"/>
      <x:c r="N313" s="30" t="str"/>
    </x:row>
    <x:row r="314">
      <x:c r="A314" s="30" t="str">
        <x:v>M11</x:v>
      </x:c>
      <x:c r="B314" s="30" t="str">
        <x:v>M11-F009</x:v>
      </x:c>
      <x:c r="C314" s="30" t="str">
        <x:v>P2</x:v>
      </x:c>
      <x:c r="D314" s="30" t="str">
        <x:v>MODIFY</x:v>
      </x:c>
      <x:c r="E314" s="30" t="str">
        <x:v>T-WP16</x:v>
      </x:c>
      <x:c r="F314" s="30" t="str">
        <x:v>Thắng</x:v>
      </x:c>
      <x:c r="G314" s="30" t="str">
        <x:v>Local/fine-tuned model (`hf-local`, `custom-local`, Ollama/custom runtime) là provider implementation option; không thay đổi AMQP AI task/result contract.</x:v>
      </x:c>
      <x:c r="H314" s="30" t="str">
        <x:v>`ARCH-V3.3 + H11-09`</x:v>
      </x:c>
      <x:c r="I314" s="30" t="str">
        <x:v>Hùng</x:v>
      </x:c>
      <x:c r="J314" s="30" t="str">
        <x:v>☐</x:v>
      </x:c>
      <x:c r="K314" s="30" t="str">
        <x:v>Chưa bắt đầu</x:v>
      </x:c>
      <x:c r="L314" s="40" t="n">
        <x:f>IF(J314="☑",1,IF(K314="Done",1,IF(K314="Đang làm",0.5,IF(K314="Blocked",0.25,0))))</x:f>
        <x:v>0</x:v>
      </x:c>
      <x:c r="M314" s="30" t="str"/>
      <x:c r="N314" s="30" t="str"/>
    </x:row>
    <x:row r="315">
      <x:c r="A315" s="30" t="str">
        <x:v>M11</x:v>
      </x:c>
      <x:c r="B315" s="30" t="str">
        <x:v>M11-F010</x:v>
      </x:c>
      <x:c r="C315" s="30" t="str">
        <x:v>P0</x:v>
      </x:c>
      <x:c r="D315" s="30" t="str">
        <x:v>KEEP</x:v>
      </x:c>
      <x:c r="E315" s="30" t="str">
        <x:v>T-WP18</x:v>
      </x:c>
      <x:c r="F315" s="30" t="str">
        <x:v>Thắng</x:v>
      </x:c>
      <x:c r="G315" s="30" t="str">
        <x:v>Bộ test tự động cho từng rule, chạy trong CI</x:v>
      </x:c>
      <x:c r="H315" s="30" t="str">
        <x:v>`H12-01`</x:v>
      </x:c>
      <x:c r="I315" s="30" t="str">
        <x:v>Hùng</x:v>
      </x:c>
      <x:c r="J315" s="30" t="str">
        <x:v>☐</x:v>
      </x:c>
      <x:c r="K315" s="30" t="str">
        <x:v>Chưa bắt đầu</x:v>
      </x:c>
      <x:c r="L315" s="40" t="n">
        <x:f>IF(J315="☑",1,IF(K315="Done",1,IF(K315="Đang làm",0.5,IF(K315="Blocked",0.25,0))))</x:f>
        <x:v>0</x:v>
      </x:c>
      <x:c r="M315" s="30" t="str"/>
      <x:c r="N315" s="30" t="str"/>
    </x:row>
    <x:row r="316">
      <x:c r="A316" s="30" t="str">
        <x:v>M11</x:v>
      </x:c>
      <x:c r="B316" s="30" t="str">
        <x:v>M11-F011</x:v>
      </x:c>
      <x:c r="C316" s="30" t="str">
        <x:v>P1</x:v>
      </x:c>
      <x:c r="D316" s="30" t="str">
        <x:v>KEEP</x:v>
      </x:c>
      <x:c r="E316" s="30" t="str">
        <x:v>T-WP18</x:v>
      </x:c>
      <x:c r="F316" s="30" t="str">
        <x:v>Thắng</x:v>
      </x:c>
      <x:c r="G316" s="30" t="str">
        <x:v>Xây tập dữ liệu gán nhãn ~300–500 tin nhắn/URL tiếng Việt (scam / không scam)</x:v>
      </x:c>
      <x:c r="H316" s="30" t="str">
        <x:v>`H12-02`</x:v>
      </x:c>
      <x:c r="I316" s="30" t="str">
        <x:v>Hùng</x:v>
      </x:c>
      <x:c r="J316" s="30" t="str">
        <x:v>☐</x:v>
      </x:c>
      <x:c r="K316" s="30" t="str">
        <x:v>Chưa bắt đầu</x:v>
      </x:c>
      <x:c r="L316" s="40" t="n">
        <x:f>IF(J316="☑",1,IF(K316="Done",1,IF(K316="Đang làm",0.5,IF(K316="Blocked",0.25,0))))</x:f>
        <x:v>0</x:v>
      </x:c>
      <x:c r="M316" s="30" t="str"/>
      <x:c r="N316" s="30" t="str"/>
    </x:row>
    <x:row r="317">
      <x:c r="A317" s="30" t="str">
        <x:v>M11</x:v>
      </x:c>
      <x:c r="B317" s="30" t="str">
        <x:v>M11-F012</x:v>
      </x:c>
      <x:c r="C317" s="30" t="str">
        <x:v>P1</x:v>
      </x:c>
      <x:c r="D317" s="30" t="str">
        <x:v>MODIFY</x:v>
      </x:c>
      <x:c r="E317" s="30" t="str">
        <x:v>T-WP18</x:v>
      </x:c>
      <x:c r="F317" s="30" t="str">
        <x:v>Thắng</x:v>
      </x:c>
      <x:c r="G317" s="30" t="str">
        <x:v>Script đo Precision / Recall / F1 / latency cho các cấu hình rule-reputation, AI-only (nghiên cứu) và hybrid theo cùng tập dữ liệu.</x:v>
      </x:c>
      <x:c r="H317" s="30" t="str">
        <x:v>`H12-03`</x:v>
      </x:c>
      <x:c r="I317" s="30" t="str">
        <x:v>Hùng</x:v>
      </x:c>
      <x:c r="J317" s="30" t="str">
        <x:v>☐</x:v>
      </x:c>
      <x:c r="K317" s="30" t="str">
        <x:v>Chưa bắt đầu</x:v>
      </x:c>
      <x:c r="L317" s="40" t="n">
        <x:f>IF(J317="☑",1,IF(K317="Done",1,IF(K317="Đang làm",0.5,IF(K317="Blocked",0.25,0))))</x:f>
        <x:v>0</x:v>
      </x:c>
      <x:c r="M317" s="30" t="str"/>
      <x:c r="N317" s="30" t="str"/>
    </x:row>
    <x:row r="318">
      <x:c r="A318" s="30" t="str">
        <x:v>M11</x:v>
      </x:c>
      <x:c r="B318" s="30" t="str">
        <x:v>M11-F013</x:v>
      </x:c>
      <x:c r="C318" s="30" t="str">
        <x:v>P1</x:v>
      </x:c>
      <x:c r="D318" s="30" t="str">
        <x:v>KEEP</x:v>
      </x:c>
      <x:c r="E318" s="30" t="str">
        <x:v>T-WP18</x:v>
      </x:c>
      <x:c r="F318" s="30" t="str">
        <x:v>Thắng</x:v>
      </x:c>
      <x:c r="G318" s="30" t="str">
        <x:v>Ma trận nhầm lẫn và danh sách case sai để phân tích nguyên nhân</x:v>
      </x:c>
      <x:c r="H318" s="30" t="str">
        <x:v>`H12-04`</x:v>
      </x:c>
      <x:c r="I318" s="30" t="str">
        <x:v>Hùng</x:v>
      </x:c>
      <x:c r="J318" s="30" t="str">
        <x:v>☐</x:v>
      </x:c>
      <x:c r="K318" s="30" t="str">
        <x:v>Chưa bắt đầu</x:v>
      </x:c>
      <x:c r="L318" s="40" t="n">
        <x:f>IF(J318="☑",1,IF(K318="Done",1,IF(K318="Đang làm",0.5,IF(K318="Blocked",0.25,0))))</x:f>
        <x:v>0</x:v>
      </x:c>
      <x:c r="M318" s="30" t="str"/>
      <x:c r="N318" s="30" t="str"/>
    </x:row>
    <x:row r="319">
      <x:c r="A319" s="30" t="str">
        <x:v>M11</x:v>
      </x:c>
      <x:c r="B319" s="30" t="str">
        <x:v>M11-F014</x:v>
      </x:c>
      <x:c r="C319" s="30" t="str">
        <x:v>P2</x:v>
      </x:c>
      <x:c r="D319" s="30" t="str">
        <x:v>KEEP</x:v>
      </x:c>
      <x:c r="E319" s="30" t="str">
        <x:v>T-WP18</x:v>
      </x:c>
      <x:c r="F319" s="30" t="str">
        <x:v>Thắng</x:v>
      </x:c>
      <x:c r="G319" s="30" t="str">
        <x:v>Tinh chỉnh trọng số rule dựa trên số liệu thay vì phỏng đoán</x:v>
      </x:c>
      <x:c r="H319" s="30" t="str">
        <x:v>`H12-05`</x:v>
      </x:c>
      <x:c r="I319" s="30" t="str">
        <x:v>Hùng</x:v>
      </x:c>
      <x:c r="J319" s="30" t="str">
        <x:v>☐</x:v>
      </x:c>
      <x:c r="K319" s="30" t="str">
        <x:v>Chưa bắt đầu</x:v>
      </x:c>
      <x:c r="L319" s="40" t="n">
        <x:f>IF(J319="☑",1,IF(K319="Done",1,IF(K319="Đang làm",0.5,IF(K319="Blocked",0.25,0))))</x:f>
        <x:v>0</x:v>
      </x:c>
      <x:c r="M319" s="30" t="str"/>
      <x:c r="N319" s="30" t="str"/>
    </x:row>
    <x:row r="320">
      <x:c r="A320" s="30" t="str">
        <x:v>M11</x:v>
      </x:c>
      <x:c r="B320" s="30" t="str">
        <x:v>M11-F015</x:v>
      </x:c>
      <x:c r="C320" s="30" t="str">
        <x:v>P2</x:v>
      </x:c>
      <x:c r="D320" s="30" t="str">
        <x:v>KEEP</x:v>
      </x:c>
      <x:c r="E320" s="30" t="str">
        <x:v>T-WP18</x:v>
      </x:c>
      <x:c r="F320" s="30" t="str">
        <x:v>Thắng</x:v>
      </x:c>
      <x:c r="G320" s="30" t="str">
        <x:v>Theo dõi tỷ lệ báo động giả trên dữ liệu thật sau khi triển khai</x:v>
      </x:c>
      <x:c r="H320" s="30" t="str">
        <x:v>`H12-06`</x:v>
      </x:c>
      <x:c r="I320" s="30" t="str">
        <x:v>Hùng</x:v>
      </x:c>
      <x:c r="J320" s="30" t="str">
        <x:v>☐</x:v>
      </x:c>
      <x:c r="K320" s="30" t="str">
        <x:v>Chưa bắt đầu</x:v>
      </x:c>
      <x:c r="L320" s="40" t="n">
        <x:f>IF(J320="☑",1,IF(K320="Done",1,IF(K320="Đang làm",0.5,IF(K320="Blocked",0.25,0))))</x:f>
        <x:v>0</x:v>
      </x:c>
      <x:c r="M320" s="30" t="str"/>
      <x:c r="N320" s="30" t="str"/>
    </x:row>
    <x:row r="321">
      <x:c r="A321" s="30" t="str">
        <x:v>M11</x:v>
      </x:c>
      <x:c r="B321" s="30" t="str">
        <x:v>M11-F016</x:v>
      </x:c>
      <x:c r="C321" s="30" t="str">
        <x:v>P2</x:v>
      </x:c>
      <x:c r="D321" s="30" t="str">
        <x:v>KEEP</x:v>
      </x:c>
      <x:c r="E321" s="30" t="str">
        <x:v>T-WP18</x:v>
      </x:c>
      <x:c r="F321" s="30" t="str">
        <x:v>Thắng</x:v>
      </x:c>
      <x:c r="G321" s="30" t="str">
        <x:v>So sánh với công cụ có sẵn (ChongLuaDao, PhishTank) trên cùng tập dữ liệu</x:v>
      </x:c>
      <x:c r="H321" s="30" t="str">
        <x:v>`H12-07`</x:v>
      </x:c>
      <x:c r="I321" s="30" t="str">
        <x:v>Hùng</x:v>
      </x:c>
      <x:c r="J321" s="30" t="str">
        <x:v>☐</x:v>
      </x:c>
      <x:c r="K321" s="30" t="str">
        <x:v>Chưa bắt đầu</x:v>
      </x:c>
      <x:c r="L321" s="40" t="n">
        <x:f>IF(J321="☑",1,IF(K321="Done",1,IF(K321="Đang làm",0.5,IF(K321="Blocked",0.25,0))))</x:f>
        <x:v>0</x:v>
      </x:c>
      <x:c r="M321" s="30" t="str"/>
      <x:c r="N321" s="30" t="str"/>
    </x:row>
    <x:row r="322">
      <x:c r="A322" s="30" t="str">
        <x:v>M11</x:v>
      </x:c>
      <x:c r="B322" s="30" t="str">
        <x:v>M11-F017</x:v>
      </x:c>
      <x:c r="C322" s="30" t="str">
        <x:v>P0</x:v>
      </x:c>
      <x:c r="D322" s="30" t="str">
        <x:v>MODIFY</x:v>
      </x:c>
      <x:c r="E322" s="30" t="str">
        <x:v>T-WP15</x:v>
      </x:c>
      <x:c r="F322" s="30" t="str">
        <x:v>Thắng</x:v>
      </x:c>
      <x:c r="G322" s="30" t="str">
        <x:v>AI Worker có `handleAiTask`: validate → dedupe task → route model (`URL_FEATURES\| TEXT_CONTENT\| WEB_CONTENT`) → preprocess → inference → publish success/failure.</x:v>
      </x:c>
      <x:c r="H322" s="30" t="str">
        <x:v>`ARCH/V3.2 + ARCH-22 (Architecture V3.2)`</x:v>
      </x:c>
      <x:c r="I322" s="30" t="str">
        <x:v>—</x:v>
      </x:c>
      <x:c r="J322" s="30" t="str">
        <x:v>☐</x:v>
      </x:c>
      <x:c r="K322" s="30" t="str">
        <x:v>Chưa bắt đầu</x:v>
      </x:c>
      <x:c r="L322" s="40" t="n">
        <x:f>IF(J322="☑",1,IF(K322="Done",1,IF(K322="Đang làm",0.5,IF(K322="Blocked",0.25,0))))</x:f>
        <x:v>0</x:v>
      </x:c>
      <x:c r="M322" s="30" t="str"/>
      <x:c r="N322" s="30" t="str"/>
    </x:row>
    <x:row r="323">
      <x:c r="A323" s="30" t="str">
        <x:v>M11</x:v>
      </x:c>
      <x:c r="B323" s="30" t="str">
        <x:v>M11-F018</x:v>
      </x:c>
      <x:c r="C323" s="30" t="str">
        <x:v>P0</x:v>
      </x:c>
      <x:c r="D323" s="30" t="str">
        <x:v>MODIFY</x:v>
      </x:c>
      <x:c r="E323" s="30" t="str">
        <x:v>T-WP15</x:v>
      </x:c>
      <x:c r="F323" s="30" t="str">
        <x:v>Thắng</x:v>
      </x:c>
      <x:c r="G323" s="30" t="str">
        <x:v>Operational default: `aiTaskDeadline=20s` ở M12, model/LLM timeout=10s trong AI Worker, `prefetch_count=4`; task phải publish FAILED khi timeout/model unavailable; retry exhausted → `q.ai.analyze.dlq`.</x:v>
      </x:c>
      <x:c r="H323" s="30" t="str">
        <x:v>`ARCH-V3.3 + ARCH-AI-OPS`</x:v>
      </x:c>
      <x:c r="I323" s="30" t="str">
        <x:v>—</x:v>
      </x:c>
      <x:c r="J323" s="30" t="str">
        <x:v>☐</x:v>
      </x:c>
      <x:c r="K323" s="30" t="str">
        <x:v>Chưa bắt đầu</x:v>
      </x:c>
      <x:c r="L323" s="40" t="n">
        <x:f>IF(J323="☑",1,IF(K323="Done",1,IF(K323="Đang làm",0.5,IF(K323="Blocked",0.25,0))))</x:f>
        <x:v>0</x:v>
      </x:c>
      <x:c r="M323" s="30" t="str"/>
      <x:c r="N323" s="30" t="str"/>
    </x:row>
    <x:row r="324">
      <x:c r="A324" s="30" t="str">
        <x:v>M11</x:v>
      </x:c>
      <x:c r="B324" s="30" t="str">
        <x:v>M11-F019</x:v>
      </x:c>
      <x:c r="C324" s="30" t="str">
        <x:v>P0</x:v>
      </x:c>
      <x:c r="D324" s="30" t="str">
        <x:v>ADD</x:v>
      </x:c>
      <x:c r="E324" s="30" t="str">
        <x:v>T-WP16</x:v>
      </x:c>
      <x:c r="F324" s="30" t="str">
        <x:v>Thắng</x:v>
      </x:c>
      <x:c r="G324" s="30" t="str">
        <x:v>Inference Provider Resolver/registry map `kind + inferenceProfile` sang `providerKey + model config`; `providerKey` là extensible string, không phải closed enum.</x:v>
      </x:c>
      <x:c r="H324" s="30" t="str">
        <x:v>`ARCH-V3.3-M11`</x:v>
      </x:c>
      <x:c r="I324" s="30" t="str">
        <x:v>—</x:v>
      </x:c>
      <x:c r="J324" s="30" t="str">
        <x:v>☐</x:v>
      </x:c>
      <x:c r="K324" s="30" t="str">
        <x:v>Chưa bắt đầu</x:v>
      </x:c>
      <x:c r="L324" s="40" t="n">
        <x:f>IF(J324="☑",1,IF(K324="Done",1,IF(K324="Đang làm",0.5,IF(K324="Blocked",0.25,0))))</x:f>
        <x:v>0</x:v>
      </x:c>
      <x:c r="M324" s="30" t="str"/>
      <x:c r="N324" s="30" t="str"/>
    </x:row>
    <x:row r="325">
      <x:c r="A325" s="30" t="str">
        <x:v>M11</x:v>
      </x:c>
      <x:c r="B325" s="30" t="str">
        <x:v>M11-F020</x:v>
      </x:c>
      <x:c r="C325" s="30" t="str">
        <x:v>P1</x:v>
      </x:c>
      <x:c r="D325" s="30" t="str">
        <x:v>ADD</x:v>
      </x:c>
      <x:c r="E325" s="30" t="str">
        <x:v>T-WP16</x:v>
      </x:c>
      <x:c r="F325" s="30" t="str">
        <x:v>Thắng</x:v>
      </x:c>
      <x:c r="G325" s="30" t="str">
        <x:v>Hỗ trợ provider adapter cho direct API, gateway/aggregator, custom HTTP và local/fine-tuned runtime; mọi output normalize về cùng `AiPrediction`, downstream không branch business rule theo provider/model.</x:v>
      </x:c>
      <x:c r="H325" s="30" t="str">
        <x:v>`MODSPEC-V1.3-M11`</x:v>
      </x:c>
      <x:c r="I325" s="30" t="str">
        <x:v>—</x:v>
      </x:c>
      <x:c r="J325" s="30" t="str">
        <x:v>☐</x:v>
      </x:c>
      <x:c r="K325" s="30" t="str">
        <x:v>Chưa bắt đầu</x:v>
      </x:c>
      <x:c r="L325" s="40" t="n">
        <x:f>IF(J325="☑",1,IF(K325="Done",1,IF(K325="Đang làm",0.5,IF(K325="Blocked",0.25,0))))</x:f>
        <x:v>0</x:v>
      </x:c>
      <x:c r="M325" s="30" t="str"/>
      <x:c r="N325" s="30" t="str"/>
    </x:row>
    <x:row r="326">
      <x:c r="A326" s="30" t="str">
        <x:v>M12</x:v>
      </x:c>
      <x:c r="B326" s="30" t="str">
        <x:v>M12-F001</x:v>
      </x:c>
      <x:c r="C326" s="30" t="str">
        <x:v>P0</x:v>
      </x:c>
      <x:c r="D326" s="30" t="str">
        <x:v>MODIFY</x:v>
      </x:c>
      <x:c r="E326" s="30" t="str">
        <x:v>I-WP11</x:v>
      </x:c>
      <x:c r="F326" s="30" t="str">
        <x:v>Kiên</x:v>
      </x:c>
      <x:c r="G326" s="30" t="str">
        <x:v>`Idempotency-Key` cho scan mutation qua M12/Redis; TTL là cấu hình của platform, không hard-code 24 giờ và phải gắn với request hash.</x:v>
      </x:c>
      <x:c r="H326" s="30" t="str">
        <x:v>`H07-04`</x:v>
      </x:c>
      <x:c r="I326" s="30" t="str">
        <x:v>Hùng</x:v>
      </x:c>
      <x:c r="J326" s="30" t="str">
        <x:v>☐</x:v>
      </x:c>
      <x:c r="K326" s="30" t="str">
        <x:v>Chưa bắt đầu</x:v>
      </x:c>
      <x:c r="L326" s="40" t="n">
        <x:f>IF(J326="☑",1,IF(K326="Done",1,IF(K326="Đang làm",0.5,IF(K326="Blocked",0.25,0))))</x:f>
        <x:v>0</x:v>
      </x:c>
      <x:c r="M326" s="30" t="str"/>
      <x:c r="N326" s="30" t="str"/>
    </x:row>
    <x:row r="327">
      <x:c r="A327" s="30" t="str">
        <x:v>M12</x:v>
      </x:c>
      <x:c r="B327" s="30" t="str">
        <x:v>M12-F002</x:v>
      </x:c>
      <x:c r="C327" s="30" t="str">
        <x:v>P0</x:v>
      </x:c>
      <x:c r="D327" s="30" t="str">
        <x:v>KEEP</x:v>
      </x:c>
      <x:c r="E327" s="30" t="str">
        <x:v>I-WP11</x:v>
      </x:c>
      <x:c r="F327" s="30" t="str">
        <x:v>Kiên</x:v>
      </x:c>
      <x:c r="G327" s="30" t="str">
        <x:v>Trùng key nhưng khác request hash → trả `409 IDEMPOTENCY_KEY_CONFLICT`</x:v>
      </x:c>
      <x:c r="H327" s="30" t="str">
        <x:v>`H07-05`</x:v>
      </x:c>
      <x:c r="I327" s="30" t="str">
        <x:v>Hùng</x:v>
      </x:c>
      <x:c r="J327" s="30" t="str">
        <x:v>☐</x:v>
      </x:c>
      <x:c r="K327" s="30" t="str">
        <x:v>Chưa bắt đầu</x:v>
      </x:c>
      <x:c r="L327" s="40" t="n">
        <x:f>IF(J327="☑",1,IF(K327="Done",1,IF(K327="Đang làm",0.5,IF(K327="Blocked",0.25,0))))</x:f>
        <x:v>0</x:v>
      </x:c>
      <x:c r="M327" s="30" t="str"/>
      <x:c r="N327" s="30" t="str"/>
    </x:row>
    <x:row r="328">
      <x:c r="A328" s="30" t="str">
        <x:v>M12</x:v>
      </x:c>
      <x:c r="B328" s="30" t="str">
        <x:v>M12-F003</x:v>
      </x:c>
      <x:c r="C328" s="30" t="str">
        <x:v>P1</x:v>
      </x:c>
      <x:c r="D328" s="30" t="str">
        <x:v>KEEP</x:v>
      </x:c>
      <x:c r="E328" s="30" t="str">
        <x:v>I-WP11</x:v>
      </x:c>
      <x:c r="F328" s="30" t="str">
        <x:v>Kiên</x:v>
      </x:c>
      <x:c r="G328" s="30" t="str">
        <x:v>Trả `429` kèm header `Retry-After` và thông báo thân thiện</x:v>
      </x:c>
      <x:c r="H328" s="30" t="str">
        <x:v>`H07-06`</x:v>
      </x:c>
      <x:c r="I328" s="30" t="str">
        <x:v>Hùng</x:v>
      </x:c>
      <x:c r="J328" s="30" t="str">
        <x:v>☐</x:v>
      </x:c>
      <x:c r="K328" s="30" t="str">
        <x:v>Chưa bắt đầu</x:v>
      </x:c>
      <x:c r="L328" s="40" t="n">
        <x:f>IF(J328="☑",1,IF(K328="Done",1,IF(K328="Đang làm",0.5,IF(K328="Blocked",0.25,0))))</x:f>
        <x:v>0</x:v>
      </x:c>
      <x:c r="M328" s="30" t="str"/>
      <x:c r="N328" s="30" t="str"/>
    </x:row>
    <x:row r="329">
      <x:c r="A329" s="30" t="str">
        <x:v>M12</x:v>
      </x:c>
      <x:c r="B329" s="30" t="str">
        <x:v>M12-F004</x:v>
      </x:c>
      <x:c r="C329" s="30" t="str">
        <x:v>P0</x:v>
      </x:c>
      <x:c r="D329" s="30" t="str">
        <x:v>ADD</x:v>
      </x:c>
      <x:c r="E329" s="30" t="str">
        <x:v>I-WP11</x:v>
      </x:c>
      <x:c r="F329" s="30" t="str">
        <x:v>Kiên</x:v>
      </x:c>
      <x:c r="G329" s="30" t="str">
        <x:v>`ScanTypeResolver` + `ProcessorRegistry/JobRouter` map `URL`, `TEXT`, `ENTITY`, `QR` sang routing key/worker phù hợp.</x:v>
      </x:c>
      <x:c r="H329" s="30" t="str">
        <x:v>`ARCH-24 (Architecture V3.2)`</x:v>
      </x:c>
      <x:c r="I329" s="30" t="str">
        <x:v>—</x:v>
      </x:c>
      <x:c r="J329" s="30" t="str">
        <x:v>☐</x:v>
      </x:c>
      <x:c r="K329" s="30" t="str">
        <x:v>Chưa bắt đầu</x:v>
      </x:c>
      <x:c r="L329" s="40" t="n">
        <x:f>IF(J329="☑",1,IF(K329="Done",1,IF(K329="Đang làm",0.5,IF(K329="Blocked",0.25,0))))</x:f>
        <x:v>0</x:v>
      </x:c>
      <x:c r="M329" s="30" t="str"/>
      <x:c r="N329" s="30" t="str"/>
    </x:row>
    <x:row r="330">
      <x:c r="A330" s="30" t="str">
        <x:v>M12</x:v>
      </x:c>
      <x:c r="B330" s="30" t="str">
        <x:v>M12-F005</x:v>
      </x:c>
      <x:c r="C330" s="30" t="str">
        <x:v>P0</x:v>
      </x:c>
      <x:c r="D330" s="30" t="str">
        <x:v>ADD</x:v>
      </x:c>
      <x:c r="E330" s="30" t="str">
        <x:v>I-WP12</x:v>
      </x:c>
      <x:c r="F330" s="30" t="str">
        <x:v>Kiên</x:v>
      </x:c>
      <x:c r="G330" s="30" t="str">
        <x:v>Scan lifecycle thống nhất `PENDING -&gt; PROCESSING -&gt; COMPLETED \| FAILED`; không để scan treo `PROCESSING` vô hạn.</x:v>
      </x:c>
      <x:c r="H330" s="30" t="str">
        <x:v>`ARCH-25 (Architecture V3.2)`</x:v>
      </x:c>
      <x:c r="I330" s="30" t="str">
        <x:v>—</x:v>
      </x:c>
      <x:c r="J330" s="30" t="str">
        <x:v>☐</x:v>
      </x:c>
      <x:c r="K330" s="30" t="str">
        <x:v>Chưa bắt đầu</x:v>
      </x:c>
      <x:c r="L330" s="40" t="n">
        <x:f>IF(J330="☑",1,IF(K330="Done",1,IF(K330="Đang làm",0.5,IF(K330="Blocked",0.25,0))))</x:f>
        <x:v>0</x:v>
      </x:c>
      <x:c r="M330" s="30" t="str"/>
      <x:c r="N330" s="30" t="str"/>
    </x:row>
    <x:row r="331">
      <x:c r="A331" s="30" t="str">
        <x:v>M12</x:v>
      </x:c>
      <x:c r="B331" s="30" t="str">
        <x:v>M12-F006</x:v>
      </x:c>
      <x:c r="C331" s="30" t="str">
        <x:v>P0</x:v>
      </x:c>
      <x:c r="D331" s="30" t="str">
        <x:v>ADD</x:v>
      </x:c>
      <x:c r="E331" s="30" t="str">
        <x:v>I-WP12</x:v>
      </x:c>
      <x:c r="F331" s="30" t="str">
        <x:v>Kiên</x:v>
      </x:c>
      <x:c r="G331" s="30" t="str">
        <x:v>Worker Result Consumer nhận kết quả qua `q.scan.result`, validate schema, deduplicate event và chuyển signal vào Signal Aggregator.</x:v>
      </x:c>
      <x:c r="H331" s="30" t="str">
        <x:v>`ARCH-26 (Architecture V3.2)`</x:v>
      </x:c>
      <x:c r="I331" s="30" t="str">
        <x:v>—</x:v>
      </x:c>
      <x:c r="J331" s="30" t="str">
        <x:v>☐</x:v>
      </x:c>
      <x:c r="K331" s="30" t="str">
        <x:v>Chưa bắt đầu</x:v>
      </x:c>
      <x:c r="L331" s="40" t="n">
        <x:f>IF(J331="☑",1,IF(K331="Done",1,IF(K331="Đang làm",0.5,IF(K331="Blocked",0.25,0))))</x:f>
        <x:v>0</x:v>
      </x:c>
      <x:c r="M331" s="30" t="str"/>
      <x:c r="N331" s="30" t="str"/>
    </x:row>
    <x:row r="332">
      <x:c r="A332" s="30" t="str">
        <x:v>M12</x:v>
      </x:c>
      <x:c r="B332" s="30" t="str">
        <x:v>M12-F007</x:v>
      </x:c>
      <x:c r="C332" s="30" t="str">
        <x:v>P0</x:v>
      </x:c>
      <x:c r="D332" s="30" t="str">
        <x:v>ADD</x:v>
      </x:c>
      <x:c r="E332" s="30" t="str">
        <x:v>I-WP12</x:v>
      </x:c>
      <x:c r="F332" s="30" t="str">
        <x:v>Kiên</x:v>
      </x:c>
      <x:c r="G332" s="30" t="str">
        <x:v>Async event envelope có `eventId`, `jobId`, `correlationId`, `eventVersion`, `attempt`, `scanId`, processor/model version để trace pipeline.</x:v>
      </x:c>
      <x:c r="H332" s="30" t="str">
        <x:v>`ARCH-27 (Architecture V3.2)`</x:v>
      </x:c>
      <x:c r="I332" s="30" t="str">
        <x:v>—</x:v>
      </x:c>
      <x:c r="J332" s="30" t="str">
        <x:v>☐</x:v>
      </x:c>
      <x:c r="K332" s="30" t="str">
        <x:v>Chưa bắt đầu</x:v>
      </x:c>
      <x:c r="L332" s="40" t="n">
        <x:f>IF(J332="☑",1,IF(K332="Done",1,IF(K332="Đang làm",0.5,IF(K332="Blocked",0.25,0))))</x:f>
        <x:v>0</x:v>
      </x:c>
      <x:c r="M332" s="30" t="str"/>
      <x:c r="N332" s="30" t="str"/>
    </x:row>
    <x:row r="333">
      <x:c r="A333" s="30" t="str">
        <x:v>M12</x:v>
      </x:c>
      <x:c r="B333" s="30" t="str">
        <x:v>M12-F008</x:v>
      </x:c>
      <x:c r="C333" s="30" t="str">
        <x:v>P0</x:v>
      </x:c>
      <x:c r="D333" s="30" t="str">
        <x:v>ADD</x:v>
      </x:c>
      <x:c r="E333" s="30" t="str">
        <x:v>I-WP12</x:v>
      </x:c>
      <x:c r="F333" s="30" t="str">
        <x:v>Kiên</x:v>
      </x:c>
      <x:c r="G333" s="30" t="str">
        <x:v>RabbitMQ at-least-once -&gt; consumer phải idempotent theo `eventId`, duplicate ACK/ignore và không double-count signal.</x:v>
      </x:c>
      <x:c r="H333" s="30" t="str">
        <x:v>`ARCH-28 (Architecture V3.2)`</x:v>
      </x:c>
      <x:c r="I333" s="30" t="str">
        <x:v>—</x:v>
      </x:c>
      <x:c r="J333" s="30" t="str">
        <x:v>☐</x:v>
      </x:c>
      <x:c r="K333" s="30" t="str">
        <x:v>Chưa bắt đầu</x:v>
      </x:c>
      <x:c r="L333" s="40" t="n">
        <x:f>IF(J333="☑",1,IF(K333="Done",1,IF(K333="Đang làm",0.5,IF(K333="Blocked",0.25,0))))</x:f>
        <x:v>0</x:v>
      </x:c>
      <x:c r="M333" s="30" t="str"/>
      <x:c r="N333" s="30" t="str"/>
    </x:row>
    <x:row r="334">
      <x:c r="A334" s="30" t="str">
        <x:v>M12</x:v>
      </x:c>
      <x:c r="B334" s="30" t="str">
        <x:v>M12-F009</x:v>
      </x:c>
      <x:c r="C334" s="30" t="str">
        <x:v>P0</x:v>
      </x:c>
      <x:c r="D334" s="30" t="str">
        <x:v>ADD</x:v>
      </x:c>
      <x:c r="E334" s="30" t="str">
        <x:v>I-WP13</x:v>
      </x:c>
      <x:c r="F334" s="30" t="str">
        <x:v>Kiên</x:v>
      </x:c>
      <x:c r="G334" s="30" t="str">
        <x:v>Nested scan dùng PostgreSQL `scan_relations` làm source of truth và Redis làm temporary barrier/counter.</x:v>
      </x:c>
      <x:c r="H334" s="30" t="str">
        <x:v>`ARCH-29 (Architecture V3.2)`</x:v>
      </x:c>
      <x:c r="I334" s="30" t="str">
        <x:v>—</x:v>
      </x:c>
      <x:c r="J334" s="30" t="str">
        <x:v>☐</x:v>
      </x:c>
      <x:c r="K334" s="30" t="str">
        <x:v>Chưa bắt đầu</x:v>
      </x:c>
      <x:c r="L334" s="40" t="n">
        <x:f>IF(J334="☑",1,IF(K334="Done",1,IF(K334="Đang làm",0.5,IF(K334="Blocked",0.25,0))))</x:f>
        <x:v>0</x:v>
      </x:c>
      <x:c r="M334" s="30" t="str"/>
      <x:c r="N334" s="30" t="str"/>
    </x:row>
    <x:row r="335">
      <x:c r="A335" s="30" t="str">
        <x:v>M12</x:v>
      </x:c>
      <x:c r="B335" s="30" t="str">
        <x:v>M12-F010</x:v>
      </x:c>
      <x:c r="C335" s="30" t="str">
        <x:v>P0</x:v>
      </x:c>
      <x:c r="D335" s="30" t="str">
        <x:v>ADD</x:v>
      </x:c>
      <x:c r="E335" s="30" t="str">
        <x:v>I-WP13</x:v>
      </x:c>
      <x:c r="F335" s="30" t="str">
        <x:v>Kiên</x:v>
      </x:c>
      <x:c r="G335" s="30" t="str">
        <x:v>Nested scan: parent deadline 30 giây, `maxDepth=2`, cycle detection bằng normalized indicator hash/visited set.</x:v>
      </x:c>
      <x:c r="H335" s="30" t="str">
        <x:v>`ARCH-30 (Architecture V3.2)`</x:v>
      </x:c>
      <x:c r="I335" s="30" t="str">
        <x:v>—</x:v>
      </x:c>
      <x:c r="J335" s="30" t="str">
        <x:v>☐</x:v>
      </x:c>
      <x:c r="K335" s="30" t="str">
        <x:v>Chưa bắt đầu</x:v>
      </x:c>
      <x:c r="L335" s="40" t="n">
        <x:f>IF(J335="☑",1,IF(K335="Done",1,IF(K335="Đang làm",0.5,IF(K335="Blocked",0.25,0))))</x:f>
        <x:v>0</x:v>
      </x:c>
      <x:c r="M335" s="30" t="str"/>
      <x:c r="N335" s="30" t="str"/>
    </x:row>
    <x:row r="336">
      <x:c r="A336" s="30" t="str">
        <x:v>M12</x:v>
      </x:c>
      <x:c r="B336" s="30" t="str">
        <x:v>M12-F011</x:v>
      </x:c>
      <x:c r="C336" s="30" t="str">
        <x:v>P0</x:v>
      </x:c>
      <x:c r="D336" s="30" t="str">
        <x:v>ADD</x:v>
      </x:c>
      <x:c r="E336" s="30" t="str">
        <x:v>I-WP13</x:v>
      </x:c>
      <x:c r="F336" s="30" t="str">
        <x:v>Kiên</x:v>
      </x:c>
      <x:c r="G336" s="30" t="str">
        <x:v>Child fail/timeout không nhất thiết fail parent; finalize bằng signal hiện có và `degraded=true` khi đủ dữ liệu.</x:v>
      </x:c>
      <x:c r="H336" s="30" t="str">
        <x:v>`ARCH-31 (Architecture V3.2)`</x:v>
      </x:c>
      <x:c r="I336" s="30" t="str">
        <x:v>—</x:v>
      </x:c>
      <x:c r="J336" s="30" t="str">
        <x:v>☐</x:v>
      </x:c>
      <x:c r="K336" s="30" t="str">
        <x:v>Chưa bắt đầu</x:v>
      </x:c>
      <x:c r="L336" s="40" t="n">
        <x:f>IF(J336="☑",1,IF(K336="Done",1,IF(K336="Đang làm",0.5,IF(K336="Blocked",0.25,0))))</x:f>
        <x:v>0</x:v>
      </x:c>
      <x:c r="M336" s="30" t="str"/>
      <x:c r="N336" s="30" t="str"/>
    </x:row>
    <x:row r="337">
      <x:c r="A337" s="30" t="str">
        <x:v>M12</x:v>
      </x:c>
      <x:c r="B337" s="30" t="str">
        <x:v>M12-F012</x:v>
      </x:c>
      <x:c r="C337" s="30" t="str">
        <x:v>P0</x:v>
      </x:c>
      <x:c r="D337" s="30" t="str">
        <x:v>ADD</x:v>
      </x:c>
      <x:c r="E337" s="30" t="str">
        <x:v>I-WP12</x:v>
      </x:c>
      <x:c r="F337" s="30" t="str">
        <x:v>Kiên</x:v>
      </x:c>
      <x:c r="G337" s="30" t="str">
        <x:v>Worker delivery policy: attempt đầu + tối đa 2 retry; exhausted -&gt; DLQ tương ứng, không auto-retry vô hạn.</x:v>
      </x:c>
      <x:c r="H337" s="30" t="str">
        <x:v>`ARCH-32 (Architecture V3.2)`</x:v>
      </x:c>
      <x:c r="I337" s="30" t="str">
        <x:v>—</x:v>
      </x:c>
      <x:c r="J337" s="30" t="str">
        <x:v>☐</x:v>
      </x:c>
      <x:c r="K337" s="30" t="str">
        <x:v>Chưa bắt đầu</x:v>
      </x:c>
      <x:c r="L337" s="40" t="n">
        <x:f>IF(J337="☑",1,IF(K337="Done",1,IF(K337="Đang làm",0.5,IF(K337="Blocked",0.25,0))))</x:f>
        <x:v>0</x:v>
      </x:c>
      <x:c r="M337" s="30" t="str"/>
      <x:c r="N337" s="30" t="str"/>
    </x:row>
    <x:row r="338">
      <x:c r="A338" s="30" t="str">
        <x:v>M12</x:v>
      </x:c>
      <x:c r="B338" s="30" t="str">
        <x:v>M12-F013</x:v>
      </x:c>
      <x:c r="C338" s="30" t="str">
        <x:v>P0</x:v>
      </x:c>
      <x:c r="D338" s="30" t="str">
        <x:v>ADD</x:v>
      </x:c>
      <x:c r="E338" s="30" t="str">
        <x:v>I-WP14</x:v>
      </x:c>
      <x:c r="F338" s="30" t="str">
        <x:v>Kiên</x:v>
      </x:c>
      <x:c r="G338" s="30" t="str">
        <x:v>RabbitMQ topology có `q.ai.analyze` + `q.ai.analyze.dlq`; routing `ai.analysis.requested`, `ai.analysis.completed`, `ai.analysis.failed`; AI result đi vào `q.scan.result`.</x:v>
      </x:c>
      <x:c r="H338" s="30" t="str">
        <x:v>`ARCH-V3.2-M12-01`</x:v>
      </x:c>
      <x:c r="I338" s="30" t="str">
        <x:v>—</x:v>
      </x:c>
      <x:c r="J338" s="30" t="str">
        <x:v>☐</x:v>
      </x:c>
      <x:c r="K338" s="30" t="str">
        <x:v>Chưa bắt đầu</x:v>
      </x:c>
      <x:c r="L338" s="40" t="n">
        <x:f>IF(J338="☑",1,IF(K338="Done",1,IF(K338="Đang làm",0.5,IF(K338="Blocked",0.25,0))))</x:f>
        <x:v>0</x:v>
      </x:c>
      <x:c r="M338" s="30" t="str"/>
      <x:c r="N338" s="30" t="str"/>
    </x:row>
    <x:row r="339">
      <x:c r="A339" s="30" t="str">
        <x:v>M12</x:v>
      </x:c>
      <x:c r="B339" s="30" t="str">
        <x:v>M12-F014</x:v>
      </x:c>
      <x:c r="C339" s="30" t="str">
        <x:v>P0</x:v>
      </x:c>
      <x:c r="D339" s="30" t="str">
        <x:v>ADD</x:v>
      </x:c>
      <x:c r="E339" s="30" t="str">
        <x:v>I-WP14</x:v>
      </x:c>
      <x:c r="F339" s="30" t="str">
        <x:v>Kiên</x:v>
      </x:c>
      <x:c r="G339" s="30" t="str">
        <x:v>PostgreSQL `scan_ai_tasks` là source of truth cho AI task chờ; Redis chỉ giữ `expectedAiTasks/completedAiTasks` và barrier tạm thời.</x:v>
      </x:c>
      <x:c r="H339" s="30" t="str">
        <x:v>`ARCH-V3.2-M12-02`</x:v>
      </x:c>
      <x:c r="I339" s="30" t="str">
        <x:v>—</x:v>
      </x:c>
      <x:c r="J339" s="30" t="str">
        <x:v>☐</x:v>
      </x:c>
      <x:c r="K339" s="30" t="str">
        <x:v>Chưa bắt đầu</x:v>
      </x:c>
      <x:c r="L339" s="40" t="n">
        <x:f>IF(J339="☑",1,IF(K339="Done",1,IF(K339="Đang làm",0.5,IF(K339="Blocked",0.25,0))))</x:f>
        <x:v>0</x:v>
      </x:c>
      <x:c r="M339" s="30" t="str"/>
      <x:c r="N339" s="30" t="str"/>
    </x:row>
    <x:row r="340">
      <x:c r="A340" s="30" t="str">
        <x:v>M12</x:v>
      </x:c>
      <x:c r="B340" s="30" t="str">
        <x:v>M12-F015</x:v>
      </x:c>
      <x:c r="C340" s="30" t="str">
        <x:v>P0</x:v>
      </x:c>
      <x:c r="D340" s="30" t="str">
        <x:v>ADD</x:v>
      </x:c>
      <x:c r="E340" s="30" t="str">
        <x:v>I-WP14</x:v>
      </x:c>
      <x:c r="F340" s="30" t="str">
        <x:v>Kiên</x:v>
      </x:c>
      <x:c r="G340" s="30" t="str">
        <x:v>Completion barrier đếm **child scans + AI tasks**; `aiTaskDeadline=20s`, parent deadline=30s. Hết AI deadline → bỏ task treo, `degraded=true`, renormalize.</x:v>
      </x:c>
      <x:c r="H340" s="30" t="str">
        <x:v>`ARCH-V3.2-M12-03`</x:v>
      </x:c>
      <x:c r="I340" s="30" t="str">
        <x:v>—</x:v>
      </x:c>
      <x:c r="J340" s="30" t="str">
        <x:v>☐</x:v>
      </x:c>
      <x:c r="K340" s="30" t="str">
        <x:v>Chưa bắt đầu</x:v>
      </x:c>
      <x:c r="L340" s="40" t="n">
        <x:f>IF(J340="☑",1,IF(K340="Done",1,IF(K340="Đang làm",0.5,IF(K340="Blocked",0.25,0))))</x:f>
        <x:v>0</x:v>
      </x:c>
      <x:c r="M340" s="30" t="str"/>
      <x:c r="N340" s="30" t="str"/>
    </x:row>
    <x:row r="341">
      <x:c r="A341" s="30" t="str">
        <x:v>M12</x:v>
      </x:c>
      <x:c r="B341" s="30" t="str">
        <x:v>M12-F016</x:v>
      </x:c>
      <x:c r="C341" s="30" t="str">
        <x:v>P0</x:v>
      </x:c>
      <x:c r="D341" s="30" t="str">
        <x:v>ADD</x:v>
      </x:c>
      <x:c r="E341" s="30" t="str">
        <x:v>I-WP14</x:v>
      </x:c>
      <x:c r="F341" s="30" t="str">
        <x:v>Kiên</x:v>
      </x:c>
      <x:c r="G341" s="30" t="str">
        <x:v>Xử lý race: AI result về trước worker result thì park theo `scanId` rồi match khi `pendingAiTasks[]` xuất hiện; AI result về sau COMPLETED chỉ ghi late signal/audit, không mutate `RiskResult`.</x:v>
      </x:c>
      <x:c r="H341" s="30" t="str">
        <x:v>`ARCH-V3.2-M12-04`</x:v>
      </x:c>
      <x:c r="I341" s="30" t="str">
        <x:v>—</x:v>
      </x:c>
      <x:c r="J341" s="30" t="str">
        <x:v>☐</x:v>
      </x:c>
      <x:c r="K341" s="30" t="str">
        <x:v>Chưa bắt đầu</x:v>
      </x:c>
      <x:c r="L341" s="40" t="n">
        <x:f>IF(J341="☑",1,IF(K341="Done",1,IF(K341="Đang làm",0.5,IF(K341="Blocked",0.25,0))))</x:f>
        <x:v>0</x:v>
      </x:c>
      <x:c r="M341" s="30" t="str"/>
      <x:c r="N341" s="30" t="str"/>
    </x:row>
    <x:row r="342">
      <x:c r="A342" s="30" t="str">
        <x:v>M12</x:v>
      </x:c>
      <x:c r="B342" s="30" t="str">
        <x:v>M12-F017</x:v>
      </x:c>
      <x:c r="C342" s="30" t="str">
        <x:v>P0</x:v>
      </x:c>
      <x:c r="D342" s="30" t="str">
        <x:v>ADD</x:v>
      </x:c>
      <x:c r="E342" s="30" t="str">
        <x:v>I-WP13</x:v>
      </x:c>
      <x:c r="F342" s="30" t="str">
        <x:v>Kiên</x:v>
      </x:c>
      <x:c r="G342" s="30" t="str">
        <x:v>Scanner/AI worker chỉ giao tiếp qua RabbitMQ, không route tới PostgreSQL/Redis/Spring Boot API; M12 xử lý `DerivedIndicator.handling` và deferred reputation/child-scan policy.</x:v>
      </x:c>
      <x:c r="H342" s="30" t="str">
        <x:v>`ARCH-V3.2-M12-05`</x:v>
      </x:c>
      <x:c r="I342" s="30" t="str">
        <x:v>—</x:v>
      </x:c>
      <x:c r="J342" s="30" t="str">
        <x:v>☐</x:v>
      </x:c>
      <x:c r="K342" s="30" t="str">
        <x:v>Chưa bắt đầu</x:v>
      </x:c>
      <x:c r="L342" s="40" t="n">
        <x:f>IF(J342="☑",1,IF(K342="Done",1,IF(K342="Đang làm",0.5,IF(K342="Blocked",0.25,0))))</x:f>
        <x:v>0</x:v>
      </x:c>
      <x:c r="M342" s="30" t="str"/>
      <x:c r="N342" s="30" t="str"/>
    </x:row>
    <x:row r="343">
      <x:c r="A343" s="30" t="str">
        <x:v>M12</x:v>
      </x:c>
      <x:c r="B343" s="30" t="str">
        <x:v>M12-F018</x:v>
      </x:c>
      <x:c r="C343" s="30" t="str">
        <x:v>P0</x:v>
      </x:c>
      <x:c r="D343" s="30" t="str">
        <x:v>ADD</x:v>
      </x:c>
      <x:c r="E343" s="30" t="str">
        <x:v>I-WP11</x:v>
      </x:c>
      <x:c r="F343" s="30" t="str">
        <x:v>Kiên</x:v>
      </x:c>
      <x:c r="G343" s="30" t="str">
        <x:v>M12 nhận `AccessContext`/`EntitlementContext` và enforce Guest/Free ownership + quota trước khi dispatch; GUEST được scan public inputs, FREE có persistent history, cả hai dùng logical `inferenceProfile=standard` trong MVP.</x:v>
      </x:c>
      <x:c r="H343" s="30" t="str">
        <x:v>`MODSPEC-V1.3-M12`</x:v>
      </x:c>
      <x:c r="I343" s="30" t="str">
        <x:v>—</x:v>
      </x:c>
      <x:c r="J343" s="30" t="str">
        <x:v>☐</x:v>
      </x:c>
      <x:c r="K343" s="30" t="str">
        <x:v>Chưa bắt đầu</x:v>
      </x:c>
      <x:c r="L343" s="40" t="n">
        <x:f>IF(J343="☑",1,IF(K343="Done",1,IF(K343="Đang làm",0.5,IF(K343="Blocked",0.25,0))))</x:f>
        <x:v>0</x:v>
      </x:c>
      <x:c r="M343" s="30" t="str"/>
      <x:c r="N343" s="30" t="str"/>
    </x:row>
    <x:row r="344">
      <x:c r="A344" s="30" t="str">
        <x:v>M12</x:v>
      </x:c>
      <x:c r="B344" s="30" t="str">
        <x:v>M12-F019</x:v>
      </x:c>
      <x:c r="C344" s="30" t="str">
        <x:v>P0</x:v>
      </x:c>
      <x:c r="D344" s="30" t="str">
        <x:v>ADD</x:v>
      </x:c>
      <x:c r="E344" s="30" t="str">
        <x:v>I-WP11</x:v>
      </x:c>
      <x:c r="F344" s="30" t="str">
        <x:v>Kiên</x:v>
      </x:c>
      <x:c r="G344" s="30" t="str">
        <x:v>`scanId` không phải authorization token: đọc result/history phải kiểm tra guest-session ownership hoặc user ownership; Guest không có persistent account history.</x:v>
      </x:c>
      <x:c r="H344" s="30" t="str">
        <x:v>`MODSPEC-V1.3-M12`</x:v>
      </x:c>
      <x:c r="I344" s="30" t="str">
        <x:v>—</x:v>
      </x:c>
      <x:c r="J344" s="30" t="str">
        <x:v>☐</x:v>
      </x:c>
      <x:c r="K344" s="30" t="str">
        <x:v>Chưa bắt đầu</x:v>
      </x:c>
      <x:c r="L344" s="40" t="n">
        <x:f>IF(J344="☑",1,IF(K344="Done",1,IF(K344="Đang làm",0.5,IF(K344="Blocked",0.25,0))))</x:f>
        <x:v>0</x:v>
      </x:c>
      <x:c r="M344" s="30" t="str"/>
      <x:c r="N344" s="30" t="str"/>
    </x:row>
    <x:row r="345">
      <x:c r="A345" s="30" t="str">
        <x:v>M13</x:v>
      </x:c>
      <x:c r="B345" s="30" t="str">
        <x:v>M13-F001</x:v>
      </x:c>
      <x:c r="C345" s="30" t="str">
        <x:v>P0</x:v>
      </x:c>
      <x:c r="D345" s="30" t="str">
        <x:v>KEEP</x:v>
      </x:c>
      <x:c r="E345" s="30" t="str">
        <x:v>K-WP09</x:v>
      </x:c>
      <x:c r="F345" s="30" t="str">
        <x:v>Khải</x:v>
      </x:c>
      <x:c r="G345" s="30" t="str">
        <x:v>Không lưu mật khẩu, OTP, số thẻ, CVV của người dùng dưới bất kỳ dạng nào</x:v>
      </x:c>
      <x:c r="H345" s="30" t="str">
        <x:v>`H08-01`</x:v>
      </x:c>
      <x:c r="I345" s="30" t="str">
        <x:v>Hùng</x:v>
      </x:c>
      <x:c r="J345" s="30" t="str">
        <x:v>☐</x:v>
      </x:c>
      <x:c r="K345" s="30" t="str">
        <x:v>Chưa bắt đầu</x:v>
      </x:c>
      <x:c r="L345" s="40" t="n">
        <x:f>IF(J345="☑",1,IF(K345="Done",1,IF(K345="Đang làm",0.5,IF(K345="Blocked",0.25,0))))</x:f>
        <x:v>0</x:v>
      </x:c>
      <x:c r="M345" s="30" t="str"/>
      <x:c r="N345" s="30" t="str"/>
    </x:row>
    <x:row r="346">
      <x:c r="A346" s="30" t="str">
        <x:v>M13</x:v>
      </x:c>
      <x:c r="B346" s="30" t="str">
        <x:v>M13-F002</x:v>
      </x:c>
      <x:c r="C346" s="30" t="str">
        <x:v>P0</x:v>
      </x:c>
      <x:c r="D346" s="30" t="str">
        <x:v>KEEP</x:v>
      </x:c>
      <x:c r="E346" s="30" t="str">
        <x:v>K-WP09</x:v>
      </x:c>
      <x:c r="F346" s="30" t="str">
        <x:v>Khải</x:v>
      </x:c>
      <x:c r="G346" s="30" t="str">
        <x:v>Che dữ liệu nhạy cảm trong log (số tài khoản → `****1234`, SĐT → `+849****678`)</x:v>
      </x:c>
      <x:c r="H346" s="30" t="str">
        <x:v>`H08-02`</x:v>
      </x:c>
      <x:c r="I346" s="30" t="str">
        <x:v>Hùng</x:v>
      </x:c>
      <x:c r="J346" s="30" t="str">
        <x:v>☐</x:v>
      </x:c>
      <x:c r="K346" s="30" t="str">
        <x:v>Chưa bắt đầu</x:v>
      </x:c>
      <x:c r="L346" s="40" t="n">
        <x:f>IF(J346="☑",1,IF(K346="Done",1,IF(K346="Đang làm",0.5,IF(K346="Blocked",0.25,0))))</x:f>
        <x:v>0</x:v>
      </x:c>
      <x:c r="M346" s="30" t="str"/>
      <x:c r="N346" s="30" t="str"/>
    </x:row>
    <x:row r="347">
      <x:c r="A347" s="30" t="str">
        <x:v>M13</x:v>
      </x:c>
      <x:c r="B347" s="30" t="str">
        <x:v>M13-F003</x:v>
      </x:c>
      <x:c r="C347" s="30" t="str">
        <x:v>P0</x:v>
      </x:c>
      <x:c r="D347" s="30" t="str">
        <x:v>MODIFY</x:v>
      </x:c>
      <x:c r="E347" s="30" t="str">
        <x:v>K-WP10</x:v>
      </x:c>
      <x:c r="F347" s="30" t="str">
        <x:v>Khải</x:v>
      </x:c>
      <x:c r="G347" s="30" t="str">
        <x:v>Docker Compose local/dev gồm PostgreSQL, Redis, RabbitMQ, MinIO, Spring Boot, scanner workers, Python AI/ML Worker, Notification Delivery Worker, Report Export Worker, Threat Ingestion Worker, Web/Admin/Mobile dev dependencies và Nginx theo Architecture V3.3.</x:v>
      </x:c>
      <x:c r="H347" s="30" t="str">
        <x:v>`K11-01 + V3.3`</x:v>
      </x:c>
      <x:c r="I347" s="30" t="str">
        <x:v>Khải</x:v>
      </x:c>
      <x:c r="J347" s="30" t="str">
        <x:v>☐</x:v>
      </x:c>
      <x:c r="K347" s="30" t="str">
        <x:v>Chưa bắt đầu</x:v>
      </x:c>
      <x:c r="L347" s="40" t="n">
        <x:f>IF(J347="☑",1,IF(K347="Done",1,IF(K347="Đang làm",0.5,IF(K347="Blocked",0.25,0))))</x:f>
        <x:v>0</x:v>
      </x:c>
      <x:c r="M347" s="30" t="str"/>
      <x:c r="N347" s="30" t="str"/>
    </x:row>
    <x:row r="348">
      <x:c r="A348" s="30" t="str">
        <x:v>M13</x:v>
      </x:c>
      <x:c r="B348" s="30" t="str">
        <x:v>M13-F004</x:v>
      </x:c>
      <x:c r="C348" s="30" t="str">
        <x:v>P0</x:v>
      </x:c>
      <x:c r="D348" s="30" t="str">
        <x:v>KEEP</x:v>
      </x:c>
      <x:c r="E348" s="30" t="str">
        <x:v>K-WP10</x:v>
      </x:c>
      <x:c r="F348" s="30" t="str">
        <x:v>Khải</x:v>
      </x:c>
      <x:c r="G348" s="30" t="str">
        <x:v>Dockerfile cho từng service, dùng multi-stage build</x:v>
      </x:c>
      <x:c r="H348" s="30" t="str">
        <x:v>`K11-02`</x:v>
      </x:c>
      <x:c r="I348" s="30" t="str">
        <x:v>Khải</x:v>
      </x:c>
      <x:c r="J348" s="30" t="str">
        <x:v>☐</x:v>
      </x:c>
      <x:c r="K348" s="30" t="str">
        <x:v>Chưa bắt đầu</x:v>
      </x:c>
      <x:c r="L348" s="40" t="n">
        <x:f>IF(J348="☑",1,IF(K348="Done",1,IF(K348="Đang làm",0.5,IF(K348="Blocked",0.25,0))))</x:f>
        <x:v>0</x:v>
      </x:c>
      <x:c r="M348" s="30" t="str"/>
      <x:c r="N348" s="30" t="str"/>
    </x:row>
    <x:row r="349">
      <x:c r="A349" s="30" t="str">
        <x:v>M13</x:v>
      </x:c>
      <x:c r="B349" s="30" t="str">
        <x:v>M13-F005</x:v>
      </x:c>
      <x:c r="C349" s="30" t="str">
        <x:v>P0</x:v>
      </x:c>
      <x:c r="D349" s="30" t="str">
        <x:v>MODIFY</x:v>
      </x:c>
      <x:c r="E349" s="30" t="str">
        <x:v>K-WP09</x:v>
      </x:c>
      <x:c r="F349" s="30" t="str">
        <x:v>Khải</x:v>
      </x:c>
      <x:c r="G349" s="30" t="str">
        <x:v>Cấu hình qua environment/secret management; không hardcode/commit JWT signing key, OAuth client secret, AI provider credential hay notification provider credential.</x:v>
      </x:c>
      <x:c r="H349" s="30" t="str">
        <x:v>`K11-03 + V3.3`</x:v>
      </x:c>
      <x:c r="I349" s="30" t="str">
        <x:v>Khải</x:v>
      </x:c>
      <x:c r="J349" s="30" t="str">
        <x:v>☐</x:v>
      </x:c>
      <x:c r="K349" s="30" t="str">
        <x:v>Chưa bắt đầu</x:v>
      </x:c>
      <x:c r="L349" s="40" t="n">
        <x:f>IF(J349="☑",1,IF(K349="Done",1,IF(K349="Đang làm",0.5,IF(K349="Blocked",0.25,0))))</x:f>
        <x:v>0</x:v>
      </x:c>
      <x:c r="M349" s="30" t="str"/>
      <x:c r="N349" s="30" t="str"/>
    </x:row>
    <x:row r="350">
      <x:c r="A350" s="30" t="str">
        <x:v>M13</x:v>
      </x:c>
      <x:c r="B350" s="30" t="str">
        <x:v>M13-F006</x:v>
      </x:c>
      <x:c r="C350" s="30" t="str">
        <x:v>P0</x:v>
      </x:c>
      <x:c r="D350" s="30" t="str">
        <x:v>MODIFY</x:v>
      </x:c>
      <x:c r="E350" s="30" t="str">
        <x:v>K-WP10</x:v>
      </x:c>
      <x:c r="F350" s="30" t="str">
        <x:v>Khải</x:v>
      </x:c>
      <x:c r="G350" s="30" t="str">
        <x:v>Health/readiness cho Spring Boot, scanner workers, AI Worker, Notification Worker, Report Export/Threat Ingestion và dependency chính; FastAPI nếu dùng cho AI chỉ giữ health/readiness/diagnostics.</x:v>
      </x:c>
      <x:c r="H350" s="30" t="str">
        <x:v>`K11-04 + V3.3`</x:v>
      </x:c>
      <x:c r="I350" s="30" t="str">
        <x:v>Khải</x:v>
      </x:c>
      <x:c r="J350" s="30" t="str">
        <x:v>☐</x:v>
      </x:c>
      <x:c r="K350" s="30" t="str">
        <x:v>Chưa bắt đầu</x:v>
      </x:c>
      <x:c r="L350" s="40" t="n">
        <x:f>IF(J350="☑",1,IF(K350="Done",1,IF(K350="Đang làm",0.5,IF(K350="Blocked",0.25,0))))</x:f>
        <x:v>0</x:v>
      </x:c>
      <x:c r="M350" s="30" t="str"/>
      <x:c r="N350" s="30" t="str"/>
    </x:row>
    <x:row r="351">
      <x:c r="A351" s="30" t="str">
        <x:v>M13</x:v>
      </x:c>
      <x:c r="B351" s="30" t="str">
        <x:v>M13-F007</x:v>
      </x:c>
      <x:c r="C351" s="30" t="str">
        <x:v>P1</x:v>
      </x:c>
      <x:c r="D351" s="30" t="str">
        <x:v>KEEP</x:v>
      </x:c>
      <x:c r="E351" s="30" t="str">
        <x:v>K-WP12</x:v>
      </x:c>
      <x:c r="F351" s="30" t="str">
        <x:v>Khải</x:v>
      </x:c>
      <x:c r="G351" s="30" t="str">
        <x:v>`docker-compose.prod.yml` kèm Nginx và TLS Let's Encrypt</x:v>
      </x:c>
      <x:c r="H351" s="30" t="str">
        <x:v>`K11-05`</x:v>
      </x:c>
      <x:c r="I351" s="30" t="str">
        <x:v>Khải</x:v>
      </x:c>
      <x:c r="J351" s="30" t="str">
        <x:v>☐</x:v>
      </x:c>
      <x:c r="K351" s="30" t="str">
        <x:v>Chưa bắt đầu</x:v>
      </x:c>
      <x:c r="L351" s="40" t="n">
        <x:f>IF(J351="☑",1,IF(K351="Done",1,IF(K351="Đang làm",0.5,IF(K351="Blocked",0.25,0))))</x:f>
        <x:v>0</x:v>
      </x:c>
      <x:c r="M351" s="30" t="str"/>
      <x:c r="N351" s="30" t="str"/>
    </x:row>
    <x:row r="352">
      <x:c r="A352" s="30" t="str">
        <x:v>M13</x:v>
      </x:c>
      <x:c r="B352" s="30" t="str">
        <x:v>M13-F008</x:v>
      </x:c>
      <x:c r="C352" s="30" t="str">
        <x:v>P1</x:v>
      </x:c>
      <x:c r="D352" s="30" t="str">
        <x:v>MODIFY</x:v>
      </x:c>
      <x:c r="E352" s="30" t="str">
        <x:v>K-WP10</x:v>
      </x:c>
      <x:c r="F352" s="30" t="str">
        <x:v>Khải</x:v>
      </x:c>
      <x:c r="G352" s="30" t="str">
        <x:v>RabbitMQ và MinIO là thành phần kiến trúc hiện tại, cấu hình ngay trong local stack; không coi là addon chỉ tới “M4”.</x:v>
      </x:c>
      <x:c r="H352" s="30" t="str">
        <x:v>`K11-06`</x:v>
      </x:c>
      <x:c r="I352" s="30" t="str">
        <x:v>Khải</x:v>
      </x:c>
      <x:c r="J352" s="30" t="str">
        <x:v>☐</x:v>
      </x:c>
      <x:c r="K352" s="30" t="str">
        <x:v>Chưa bắt đầu</x:v>
      </x:c>
      <x:c r="L352" s="40" t="n">
        <x:f>IF(J352="☑",1,IF(K352="Done",1,IF(K352="Đang làm",0.5,IF(K352="Blocked",0.25,0))))</x:f>
        <x:v>0</x:v>
      </x:c>
      <x:c r="M352" s="30" t="str"/>
      <x:c r="N352" s="30" t="str"/>
    </x:row>
    <x:row r="353">
      <x:c r="A353" s="30" t="str">
        <x:v>M13</x:v>
      </x:c>
      <x:c r="B353" s="30" t="str">
        <x:v>M13-F009</x:v>
      </x:c>
      <x:c r="C353" s="30" t="str">
        <x:v>P0</x:v>
      </x:c>
      <x:c r="D353" s="30" t="str">
        <x:v>KEEP</x:v>
      </x:c>
      <x:c r="E353" s="30" t="str">
        <x:v>K-WP12</x:v>
      </x:c>
      <x:c r="F353" s="30" t="str">
        <x:v>Khải</x:v>
      </x:c>
      <x:c r="G353" s="30" t="str">
        <x:v>Script khởi tạo và migration cơ sở dữ liệu (Flyway/Liquibase)</x:v>
      </x:c>
      <x:c r="H353" s="30" t="str">
        <x:v>`K11-07`</x:v>
      </x:c>
      <x:c r="I353" s="30" t="str">
        <x:v>Khải</x:v>
      </x:c>
      <x:c r="J353" s="30" t="str">
        <x:v>☐</x:v>
      </x:c>
      <x:c r="K353" s="30" t="str">
        <x:v>Chưa bắt đầu</x:v>
      </x:c>
      <x:c r="L353" s="40" t="n">
        <x:f>IF(J353="☑",1,IF(K353="Done",1,IF(K353="Đang làm",0.5,IF(K353="Blocked",0.25,0))))</x:f>
        <x:v>0</x:v>
      </x:c>
      <x:c r="M353" s="30" t="str"/>
      <x:c r="N353" s="30" t="str"/>
    </x:row>
    <x:row r="354">
      <x:c r="A354" s="30" t="str">
        <x:v>M13</x:v>
      </x:c>
      <x:c r="B354" s="30" t="str">
        <x:v>M13-F010</x:v>
      </x:c>
      <x:c r="C354" s="30" t="str">
        <x:v>P1</x:v>
      </x:c>
      <x:c r="D354" s="30" t="str">
        <x:v>KEEP</x:v>
      </x:c>
      <x:c r="E354" s="30" t="str">
        <x:v>K-WP13</x:v>
      </x:c>
      <x:c r="F354" s="30" t="str">
        <x:v>Khải</x:v>
      </x:c>
      <x:c r="G354" s="30" t="str">
        <x:v>Sao lưu và phục hồi PostgreSQL định kỳ</x:v>
      </x:c>
      <x:c r="H354" s="30" t="str">
        <x:v>`K11-08`</x:v>
      </x:c>
      <x:c r="I354" s="30" t="str">
        <x:v>Khải</x:v>
      </x:c>
      <x:c r="J354" s="30" t="str">
        <x:v>☐</x:v>
      </x:c>
      <x:c r="K354" s="30" t="str">
        <x:v>Chưa bắt đầu</x:v>
      </x:c>
      <x:c r="L354" s="40" t="n">
        <x:f>IF(J354="☑",1,IF(K354="Done",1,IF(K354="Đang làm",0.5,IF(K354="Blocked",0.25,0))))</x:f>
        <x:v>0</x:v>
      </x:c>
      <x:c r="M354" s="30" t="str"/>
      <x:c r="N354" s="30" t="str"/>
    </x:row>
    <x:row r="355">
      <x:c r="A355" s="30" t="str">
        <x:v>M13</x:v>
      </x:c>
      <x:c r="B355" s="30" t="str">
        <x:v>M13-F011</x:v>
      </x:c>
      <x:c r="C355" s="30" t="str">
        <x:v>P0</x:v>
      </x:c>
      <x:c r="D355" s="30" t="str">
        <x:v>MODIFY</x:v>
      </x:c>
      <x:c r="E355" s="30" t="str">
        <x:v>K-WP12</x:v>
      </x:c>
      <x:c r="F355" s="30" t="str">
        <x:v>Khải</x:v>
      </x:c>
      <x:c r="G355" s="30" t="str">
        <x:v>CD triển khai MVP lên staging/VPS từ image/version đã build; chạy migration, health/readiness và smoke check theo quy trình reproducible, không phụ thuộc SSH thủ công tùy hứng</x:v>
      </x:c>
      <x:c r="H355" s="30" t="str">
        <x:v>`K11-09`</x:v>
      </x:c>
      <x:c r="I355" s="30" t="str">
        <x:v>Khải</x:v>
      </x:c>
      <x:c r="J355" s="30" t="str">
        <x:v>☐</x:v>
      </x:c>
      <x:c r="K355" s="30" t="str">
        <x:v>Chưa bắt đầu</x:v>
      </x:c>
      <x:c r="L355" s="40" t="n">
        <x:f>IF(J355="☑",1,IF(K355="Done",1,IF(K355="Đang làm",0.5,IF(K355="Blocked",0.25,0))))</x:f>
        <x:v>0</x:v>
      </x:c>
      <x:c r="M355" s="30" t="str"/>
      <x:c r="N355" s="30" t="str"/>
    </x:row>
    <x:row r="356">
      <x:c r="A356" s="30" t="str">
        <x:v>M13</x:v>
      </x:c>
      <x:c r="B356" s="30" t="str">
        <x:v>M13-F012</x:v>
      </x:c>
      <x:c r="C356" s="30" t="str">
        <x:v>P0</x:v>
      </x:c>
      <x:c r="D356" s="30" t="str">
        <x:v>KEEP</x:v>
      </x:c>
      <x:c r="E356" s="30" t="str">
        <x:v>K-WP11</x:v>
      </x:c>
      <x:c r="F356" s="30" t="str">
        <x:v>Khải</x:v>
      </x:c>
      <x:c r="G356" s="30" t="str">
        <x:v>GitHub Actions chạy test của cả 3 service trên mỗi pull request</x:v>
      </x:c>
      <x:c r="H356" s="30" t="str">
        <x:v>`K12-01`</x:v>
      </x:c>
      <x:c r="I356" s="30" t="str">
        <x:v>Khải</x:v>
      </x:c>
      <x:c r="J356" s="30" t="str">
        <x:v>☐</x:v>
      </x:c>
      <x:c r="K356" s="30" t="str">
        <x:v>Chưa bắt đầu</x:v>
      </x:c>
      <x:c r="L356" s="40" t="n">
        <x:f>IF(J356="☑",1,IF(K356="Done",1,IF(K356="Đang làm",0.5,IF(K356="Blocked",0.25,0))))</x:f>
        <x:v>0</x:v>
      </x:c>
      <x:c r="M356" s="30" t="str"/>
      <x:c r="N356" s="30" t="str"/>
    </x:row>
    <x:row r="357">
      <x:c r="A357" s="30" t="str">
        <x:v>M13</x:v>
      </x:c>
      <x:c r="B357" s="30" t="str">
        <x:v>M13-F013</x:v>
      </x:c>
      <x:c r="C357" s="30" t="str">
        <x:v>P0</x:v>
      </x:c>
      <x:c r="D357" s="30" t="str">
        <x:v>KEEP</x:v>
      </x:c>
      <x:c r="E357" s="30" t="str">
        <x:v>K-WP11</x:v>
      </x:c>
      <x:c r="F357" s="30" t="str">
        <x:v>Khải</x:v>
      </x:c>
      <x:c r="G357" s="30" t="str">
        <x:v>Chặn merge khi test đỏ</x:v>
      </x:c>
      <x:c r="H357" s="30" t="str">
        <x:v>`K12-02`</x:v>
      </x:c>
      <x:c r="I357" s="30" t="str">
        <x:v>Khải</x:v>
      </x:c>
      <x:c r="J357" s="30" t="str">
        <x:v>☐</x:v>
      </x:c>
      <x:c r="K357" s="30" t="str">
        <x:v>Chưa bắt đầu</x:v>
      </x:c>
      <x:c r="L357" s="40" t="n">
        <x:f>IF(J357="☑",1,IF(K357="Done",1,IF(K357="Đang làm",0.5,IF(K357="Blocked",0.25,0))))</x:f>
        <x:v>0</x:v>
      </x:c>
      <x:c r="M357" s="30" t="str"/>
      <x:c r="N357" s="30" t="str"/>
    </x:row>
    <x:row r="358">
      <x:c r="A358" s="30" t="str">
        <x:v>M13</x:v>
      </x:c>
      <x:c r="B358" s="30" t="str">
        <x:v>M13-F014</x:v>
      </x:c>
      <x:c r="C358" s="30" t="str">
        <x:v>P1</x:v>
      </x:c>
      <x:c r="D358" s="30" t="str">
        <x:v>KEEP</x:v>
      </x:c>
      <x:c r="E358" s="30" t="str">
        <x:v>K-WP11</x:v>
      </x:c>
      <x:c r="F358" s="30" t="str">
        <x:v>Khải</x:v>
      </x:c>
      <x:c r="G358" s="30" t="str">
        <x:v>Kiểm tra định dạng và lint (Checkstyle, ruff, ESLint)</x:v>
      </x:c>
      <x:c r="H358" s="30" t="str">
        <x:v>`K12-03`</x:v>
      </x:c>
      <x:c r="I358" s="30" t="str">
        <x:v>Khải</x:v>
      </x:c>
      <x:c r="J358" s="30" t="str">
        <x:v>☐</x:v>
      </x:c>
      <x:c r="K358" s="30" t="str">
        <x:v>Chưa bắt đầu</x:v>
      </x:c>
      <x:c r="L358" s="40" t="n">
        <x:f>IF(J358="☑",1,IF(K358="Done",1,IF(K358="Đang làm",0.5,IF(K358="Blocked",0.25,0))))</x:f>
        <x:v>0</x:v>
      </x:c>
      <x:c r="M358" s="30" t="str"/>
      <x:c r="N358" s="30" t="str"/>
    </x:row>
    <x:row r="359">
      <x:c r="A359" s="30" t="str">
        <x:v>M13</x:v>
      </x:c>
      <x:c r="B359" s="30" t="str">
        <x:v>M13-F015</x:v>
      </x:c>
      <x:c r="C359" s="30" t="str">
        <x:v>P1</x:v>
      </x:c>
      <x:c r="D359" s="30" t="str">
        <x:v>KEEP</x:v>
      </x:c>
      <x:c r="E359" s="30" t="str">
        <x:v>K-WP11</x:v>
      </x:c>
      <x:c r="F359" s="30" t="str">
        <x:v>Khải</x:v>
      </x:c>
      <x:c r="G359" s="30" t="str">
        <x:v>Đo độ phủ test, hiển thị badge</x:v>
      </x:c>
      <x:c r="H359" s="30" t="str">
        <x:v>`K12-04`</x:v>
      </x:c>
      <x:c r="I359" s="30" t="str">
        <x:v>Khải</x:v>
      </x:c>
      <x:c r="J359" s="30" t="str">
        <x:v>☐</x:v>
      </x:c>
      <x:c r="K359" s="30" t="str">
        <x:v>Chưa bắt đầu</x:v>
      </x:c>
      <x:c r="L359" s="40" t="n">
        <x:f>IF(J359="☑",1,IF(K359="Done",1,IF(K359="Đang làm",0.5,IF(K359="Blocked",0.25,0))))</x:f>
        <x:v>0</x:v>
      </x:c>
      <x:c r="M359" s="30" t="str"/>
      <x:c r="N359" s="30" t="str"/>
    </x:row>
    <x:row r="360">
      <x:c r="A360" s="30" t="str">
        <x:v>M13</x:v>
      </x:c>
      <x:c r="B360" s="30" t="str">
        <x:v>M13-F016</x:v>
      </x:c>
      <x:c r="C360" s="30" t="str">
        <x:v>P1</x:v>
      </x:c>
      <x:c r="D360" s="30" t="str">
        <x:v>KEEP</x:v>
      </x:c>
      <x:c r="E360" s="30" t="str">
        <x:v>K-WP13</x:v>
      </x:c>
      <x:c r="F360" s="30" t="str">
        <x:v>Khải</x:v>
      </x:c>
      <x:c r="G360" s="30" t="str">
        <x:v>Log có cấu trúc (JSON) kèm `X-Request-Id` xuyên suốt mọi hop</x:v>
      </x:c>
      <x:c r="H360" s="30" t="str">
        <x:v>`K12-05`</x:v>
      </x:c>
      <x:c r="I360" s="30" t="str">
        <x:v>Khải</x:v>
      </x:c>
      <x:c r="J360" s="30" t="str">
        <x:v>☐</x:v>
      </x:c>
      <x:c r="K360" s="30" t="str">
        <x:v>Chưa bắt đầu</x:v>
      </x:c>
      <x:c r="L360" s="40" t="n">
        <x:f>IF(J360="☑",1,IF(K360="Done",1,IF(K360="Đang làm",0.5,IF(K360="Blocked",0.25,0))))</x:f>
        <x:v>0</x:v>
      </x:c>
      <x:c r="M360" s="30" t="str"/>
      <x:c r="N360" s="30" t="str"/>
    </x:row>
    <x:row r="361">
      <x:c r="A361" s="30" t="str">
        <x:v>M13</x:v>
      </x:c>
      <x:c r="B361" s="30" t="str">
        <x:v>M13-F017</x:v>
      </x:c>
      <x:c r="C361" s="30" t="str">
        <x:v>P1</x:v>
      </x:c>
      <x:c r="D361" s="30" t="str">
        <x:v>KEEP</x:v>
      </x:c>
      <x:c r="E361" s="30" t="str">
        <x:v>K-WP11</x:v>
      </x:c>
      <x:c r="F361" s="30" t="str">
        <x:v>Khải</x:v>
      </x:c>
      <x:c r="G361" s="30" t="str">
        <x:v>Quét lỗ hổng phụ thuộc (Dependabot / OWASP Dependency-Check)</x:v>
      </x:c>
      <x:c r="H361" s="30" t="str">
        <x:v>`K12-06`</x:v>
      </x:c>
      <x:c r="I361" s="30" t="str">
        <x:v>Khải</x:v>
      </x:c>
      <x:c r="J361" s="30" t="str">
        <x:v>☐</x:v>
      </x:c>
      <x:c r="K361" s="30" t="str">
        <x:v>Chưa bắt đầu</x:v>
      </x:c>
      <x:c r="L361" s="40" t="n">
        <x:f>IF(J361="☑",1,IF(K361="Done",1,IF(K361="Đang làm",0.5,IF(K361="Blocked",0.25,0))))</x:f>
        <x:v>0</x:v>
      </x:c>
      <x:c r="M361" s="30" t="str"/>
      <x:c r="N361" s="30" t="str"/>
    </x:row>
    <x:row r="362">
      <x:c r="A362" s="30" t="str">
        <x:v>M13</x:v>
      </x:c>
      <x:c r="B362" s="30" t="str">
        <x:v>M13-F018</x:v>
      </x:c>
      <x:c r="C362" s="30" t="str">
        <x:v>P2</x:v>
      </x:c>
      <x:c r="D362" s="30" t="str">
        <x:v>KEEP</x:v>
      </x:c>
      <x:c r="E362" s="30" t="str">
        <x:v>K-WP13</x:v>
      </x:c>
      <x:c r="F362" s="30" t="str">
        <x:v>Khải</x:v>
      </x:c>
      <x:c r="G362" s="30" t="str">
        <x:v>Metrics Prometheus + dashboard Grafana</x:v>
      </x:c>
      <x:c r="H362" s="30" t="str">
        <x:v>`K12-07`</x:v>
      </x:c>
      <x:c r="I362" s="30" t="str">
        <x:v>Khải</x:v>
      </x:c>
      <x:c r="J362" s="30" t="str">
        <x:v>☐</x:v>
      </x:c>
      <x:c r="K362" s="30" t="str">
        <x:v>Chưa bắt đầu</x:v>
      </x:c>
      <x:c r="L362" s="40" t="n">
        <x:f>IF(J362="☑",1,IF(K362="Done",1,IF(K362="Đang làm",0.5,IF(K362="Blocked",0.25,0))))</x:f>
        <x:v>0</x:v>
      </x:c>
      <x:c r="M362" s="30" t="str"/>
      <x:c r="N362" s="30" t="str"/>
    </x:row>
    <x:row r="363">
      <x:c r="A363" s="30" t="str">
        <x:v>M13</x:v>
      </x:c>
      <x:c r="B363" s="30" t="str">
        <x:v>M13-F019</x:v>
      </x:c>
      <x:c r="C363" s="30" t="str">
        <x:v>P2</x:v>
      </x:c>
      <x:c r="D363" s="30" t="str">
        <x:v>KEEP</x:v>
      </x:c>
      <x:c r="E363" s="30" t="str">
        <x:v>K-WP13</x:v>
      </x:c>
      <x:c r="F363" s="30" t="str">
        <x:v>Khải</x:v>
      </x:c>
      <x:c r="G363" s="30" t="str">
        <x:v>Cảnh báo khi tỷ lệ lỗi hoặc độ trễ vượt ngưỡng</x:v>
      </x:c>
      <x:c r="H363" s="30" t="str">
        <x:v>`K12-08`</x:v>
      </x:c>
      <x:c r="I363" s="30" t="str">
        <x:v>Khải</x:v>
      </x:c>
      <x:c r="J363" s="30" t="str">
        <x:v>☐</x:v>
      </x:c>
      <x:c r="K363" s="30" t="str">
        <x:v>Chưa bắt đầu</x:v>
      </x:c>
      <x:c r="L363" s="40" t="n">
        <x:f>IF(J363="☑",1,IF(K363="Done",1,IF(K363="Đang làm",0.5,IF(K363="Blocked",0.25,0))))</x:f>
        <x:v>0</x:v>
      </x:c>
      <x:c r="M363" s="30" t="str"/>
      <x:c r="N363" s="30" t="str"/>
    </x:row>
    <x:row r="364">
      <x:c r="A364" s="30" t="str">
        <x:v>M13</x:v>
      </x:c>
      <x:c r="B364" s="30" t="str">
        <x:v>M13-F020</x:v>
      </x:c>
      <x:c r="C364" s="30" t="str">
        <x:v>P0</x:v>
      </x:c>
      <x:c r="D364" s="30" t="str">
        <x:v>MODIFY</x:v>
      </x:c>
      <x:c r="E364" s="30" t="str">
        <x:v>K-WP12</x:v>
      </x:c>
      <x:c r="F364" s="30" t="str">
        <x:v>Khải</x:v>
      </x:c>
      <x:c r="G364" s="30" t="str">
        <x:v>GitHub Actions tự động build và push Docker image khi merge vào `main` hoặc tạo release tag; image tag trace được commit/version để dùng cho CD</x:v>
      </x:c>
      <x:c r="H364" s="30" t="str">
        <x:v>`K12-09`</x:v>
      </x:c>
      <x:c r="I364" s="30" t="str">
        <x:v>Khải</x:v>
      </x:c>
      <x:c r="J364" s="30" t="str">
        <x:v>☐</x:v>
      </x:c>
      <x:c r="K364" s="30" t="str">
        <x:v>Chưa bắt đầu</x:v>
      </x:c>
      <x:c r="L364" s="40" t="n">
        <x:f>IF(J364="☑",1,IF(K364="Done",1,IF(K364="Đang làm",0.5,IF(K364="Blocked",0.25,0))))</x:f>
        <x:v>0</x:v>
      </x:c>
      <x:c r="M364" s="30" t="str"/>
      <x:c r="N364" s="30" t="str"/>
    </x:row>
    <x:row r="365">
      <x:c r="A365" s="30" t="str">
        <x:v>M13</x:v>
      </x:c>
      <x:c r="B365" s="30" t="str">
        <x:v>M13-F021</x:v>
      </x:c>
      <x:c r="C365" s="30" t="str">
        <x:v>P1</x:v>
      </x:c>
      <x:c r="D365" s="30" t="str">
        <x:v>KEEP</x:v>
      </x:c>
      <x:c r="E365" s="30" t="str">
        <x:v>K-WP14</x:v>
      </x:c>
      <x:c r="F365" s="30" t="str">
        <x:v>Khải</x:v>
      </x:c>
      <x:c r="G365" s="30" t="str">
        <x:v>Tách toàn bộ chuỗi giao diện ra file ngôn ngữ, mặc định tiếng Việt</x:v>
      </x:c>
      <x:c r="H365" s="30" t="str">
        <x:v>`R12-01`</x:v>
      </x:c>
      <x:c r="I365" s="30" t="str">
        <x:v>Kiên</x:v>
      </x:c>
      <x:c r="J365" s="30" t="str">
        <x:v>☐</x:v>
      </x:c>
      <x:c r="K365" s="30" t="str">
        <x:v>Chưa bắt đầu</x:v>
      </x:c>
      <x:c r="L365" s="40" t="n">
        <x:f>IF(J365="☑",1,IF(K365="Done",1,IF(K365="Đang làm",0.5,IF(K365="Blocked",0.25,0))))</x:f>
        <x:v>0</x:v>
      </x:c>
      <x:c r="M365" s="30" t="str"/>
      <x:c r="N365" s="30" t="str"/>
    </x:row>
    <x:row r="366">
      <x:c r="A366" s="30" t="str">
        <x:v>M13</x:v>
      </x:c>
      <x:c r="B366" s="30" t="str">
        <x:v>M13-F022</x:v>
      </x:c>
      <x:c r="C366" s="30" t="str">
        <x:v>P1</x:v>
      </x:c>
      <x:c r="D366" s="30" t="str">
        <x:v>KEEP</x:v>
      </x:c>
      <x:c r="E366" s="30" t="str">
        <x:v>K-WP14</x:v>
      </x:c>
      <x:c r="F366" s="30" t="str">
        <x:v>Khải</x:v>
      </x:c>
      <x:c r="G366" s="30" t="str">
        <x:v>Tương phản màu và cỡ chữ đạt WCAG AA</x:v>
      </x:c>
      <x:c r="H366" s="30" t="str">
        <x:v>`R12-02`</x:v>
      </x:c>
      <x:c r="I366" s="30" t="str">
        <x:v>Kiên</x:v>
      </x:c>
      <x:c r="J366" s="30" t="str">
        <x:v>☐</x:v>
      </x:c>
      <x:c r="K366" s="30" t="str">
        <x:v>Chưa bắt đầu</x:v>
      </x:c>
      <x:c r="L366" s="40" t="n">
        <x:f>IF(J366="☑",1,IF(K366="Done",1,IF(K366="Đang làm",0.5,IF(K366="Blocked",0.25,0))))</x:f>
        <x:v>0</x:v>
      </x:c>
      <x:c r="M366" s="30" t="str"/>
      <x:c r="N366" s="30" t="str"/>
    </x:row>
    <x:row r="367">
      <x:c r="A367" s="30" t="str">
        <x:v>M13</x:v>
      </x:c>
      <x:c r="B367" s="30" t="str">
        <x:v>M13-F023</x:v>
      </x:c>
      <x:c r="C367" s="30" t="str">
        <x:v>P1</x:v>
      </x:c>
      <x:c r="D367" s="30" t="str">
        <x:v>KEEP</x:v>
      </x:c>
      <x:c r="E367" s="30" t="str">
        <x:v>K-WP14</x:v>
      </x:c>
      <x:c r="F367" s="30" t="str">
        <x:v>Khải</x:v>
      </x:c>
      <x:c r="G367" s="30" t="str">
        <x:v>Điều hướng được hoàn toàn bằng bàn phím</x:v>
      </x:c>
      <x:c r="H367" s="30" t="str">
        <x:v>`R12-03`</x:v>
      </x:c>
      <x:c r="I367" s="30" t="str">
        <x:v>Kiên</x:v>
      </x:c>
      <x:c r="J367" s="30" t="str">
        <x:v>☐</x:v>
      </x:c>
      <x:c r="K367" s="30" t="str">
        <x:v>Chưa bắt đầu</x:v>
      </x:c>
      <x:c r="L367" s="40" t="n">
        <x:f>IF(J367="☑",1,IF(K367="Done",1,IF(K367="Đang làm",0.5,IF(K367="Blocked",0.25,0))))</x:f>
        <x:v>0</x:v>
      </x:c>
      <x:c r="M367" s="30" t="str"/>
      <x:c r="N367" s="30" t="str"/>
    </x:row>
    <x:row r="368">
      <x:c r="A368" s="30" t="str">
        <x:v>M13</x:v>
      </x:c>
      <x:c r="B368" s="30" t="str">
        <x:v>M13-F024</x:v>
      </x:c>
      <x:c r="C368" s="30" t="str">
        <x:v>P1</x:v>
      </x:c>
      <x:c r="D368" s="30" t="str">
        <x:v>KEEP</x:v>
      </x:c>
      <x:c r="E368" s="30" t="str">
        <x:v>K-WP14</x:v>
      </x:c>
      <x:c r="F368" s="30" t="str">
        <x:v>Khải</x:v>
      </x:c>
      <x:c r="G368" s="30" t="str">
        <x:v>Không truyền đạt thông tin chỉ bằng màu (kèm biểu tượng và chữ cho SAFE/CAUTION/DANGER)</x:v>
      </x:c>
      <x:c r="H368" s="30" t="str">
        <x:v>`R12-04`</x:v>
      </x:c>
      <x:c r="I368" s="30" t="str">
        <x:v>Kiên</x:v>
      </x:c>
      <x:c r="J368" s="30" t="str">
        <x:v>☐</x:v>
      </x:c>
      <x:c r="K368" s="30" t="str">
        <x:v>Chưa bắt đầu</x:v>
      </x:c>
      <x:c r="L368" s="40" t="n">
        <x:f>IF(J368="☑",1,IF(K368="Done",1,IF(K368="Đang làm",0.5,IF(K368="Blocked",0.25,0))))</x:f>
        <x:v>0</x:v>
      </x:c>
      <x:c r="M368" s="30" t="str"/>
      <x:c r="N368" s="30" t="str"/>
    </x:row>
    <x:row r="369">
      <x:c r="A369" s="30" t="str">
        <x:v>M13</x:v>
      </x:c>
      <x:c r="B369" s="30" t="str">
        <x:v>M13-F025</x:v>
      </x:c>
      <x:c r="C369" s="30" t="str">
        <x:v>P2</x:v>
      </x:c>
      <x:c r="D369" s="30" t="str">
        <x:v>KEEP</x:v>
      </x:c>
      <x:c r="E369" s="30" t="str">
        <x:v>K-WP14</x:v>
      </x:c>
      <x:c r="F369" s="30" t="str">
        <x:v>Khải</x:v>
      </x:c>
      <x:c r="G369" s="30" t="str">
        <x:v>Bản dịch tiếng Anh</x:v>
      </x:c>
      <x:c r="H369" s="30" t="str">
        <x:v>`R12-05`</x:v>
      </x:c>
      <x:c r="I369" s="30" t="str">
        <x:v>Kiên</x:v>
      </x:c>
      <x:c r="J369" s="30" t="str">
        <x:v>☐</x:v>
      </x:c>
      <x:c r="K369" s="30" t="str">
        <x:v>Chưa bắt đầu</x:v>
      </x:c>
      <x:c r="L369" s="40" t="n">
        <x:f>IF(J369="☑",1,IF(K369="Done",1,IF(K369="Đang làm",0.5,IF(K369="Blocked",0.25,0))))</x:f>
        <x:v>0</x:v>
      </x:c>
      <x:c r="M369" s="30" t="str"/>
      <x:c r="N369" s="30" t="str"/>
    </x:row>
    <x:row r="370">
      <x:c r="A370" s="30" t="str">
        <x:v>M13</x:v>
      </x:c>
      <x:c r="B370" s="30" t="str">
        <x:v>M13-F026</x:v>
      </x:c>
      <x:c r="C370" s="30" t="str">
        <x:v>P2</x:v>
      </x:c>
      <x:c r="D370" s="30" t="str">
        <x:v>KEEP</x:v>
      </x:c>
      <x:c r="E370" s="30" t="str">
        <x:v>K-WP14</x:v>
      </x:c>
      <x:c r="F370" s="30" t="str">
        <x:v>Khải</x:v>
      </x:c>
      <x:c r="G370" s="30" t="str">
        <x:v>Nhãn ARIA và kiểm thử với trình đọc màn hình</x:v>
      </x:c>
      <x:c r="H370" s="30" t="str">
        <x:v>`R12-06`</x:v>
      </x:c>
      <x:c r="I370" s="30" t="str">
        <x:v>Kiên</x:v>
      </x:c>
      <x:c r="J370" s="30" t="str">
        <x:v>☐</x:v>
      </x:c>
      <x:c r="K370" s="30" t="str">
        <x:v>Chưa bắt đầu</x:v>
      </x:c>
      <x:c r="L370" s="40" t="n">
        <x:f>IF(J370="☑",1,IF(K370="Done",1,IF(K370="Đang làm",0.5,IF(K370="Blocked",0.25,0))))</x:f>
        <x:v>0</x:v>
      </x:c>
      <x:c r="M370" s="30" t="str"/>
      <x:c r="N370" s="30" t="str"/>
    </x:row>
    <x:row r="371">
      <x:c r="A371" s="30" t="str">
        <x:v>M13</x:v>
      </x:c>
      <x:c r="B371" s="30" t="str">
        <x:v>M13-F027</x:v>
      </x:c>
      <x:c r="C371" s="30" t="str">
        <x:v>P2</x:v>
      </x:c>
      <x:c r="D371" s="30" t="str">
        <x:v>KEEP</x:v>
      </x:c>
      <x:c r="E371" s="30" t="str">
        <x:v>K-WP14</x:v>
      </x:c>
      <x:c r="F371" s="30" t="str">
        <x:v>Khải</x:v>
      </x:c>
      <x:c r="G371" s="30" t="str">
        <x:v>Chế độ chữ lớn dành cho người cao tuổi</x:v>
      </x:c>
      <x:c r="H371" s="30" t="str">
        <x:v>`R12-07`</x:v>
      </x:c>
      <x:c r="I371" s="30" t="str">
        <x:v>Kiên</x:v>
      </x:c>
      <x:c r="J371" s="30" t="str">
        <x:v>☐</x:v>
      </x:c>
      <x:c r="K371" s="30" t="str">
        <x:v>Chưa bắt đầu</x:v>
      </x:c>
      <x:c r="L371" s="40" t="n">
        <x:f>IF(J371="☑",1,IF(K371="Done",1,IF(K371="Đang làm",0.5,IF(K371="Blocked",0.25,0))))</x:f>
        <x:v>0</x:v>
      </x:c>
      <x:c r="M371" s="30" t="str"/>
      <x:c r="N371" s="30" t="str"/>
    </x:row>
    <x:row r="372">
      <x:c r="A372" s="30" t="str">
        <x:v>M13</x:v>
      </x:c>
      <x:c r="B372" s="30" t="str">
        <x:v>M13-F028</x:v>
      </x:c>
      <x:c r="C372" s="30" t="str">
        <x:v>P0</x:v>
      </x:c>
      <x:c r="D372" s="30" t="str">
        <x:v>KEEP</x:v>
      </x:c>
      <x:c r="E372" s="30" t="str">
        <x:v>K-WP14</x:v>
      </x:c>
      <x:c r="F372" s="30" t="str">
        <x:v>Khải</x:v>
      </x:c>
      <x:c r="G372" s="30" t="str">
        <x:v>Share Target nhận link và văn bản từ Zalo/Messenger/SMS, tự định tuyến theo nội dung</x:v>
      </x:c>
      <x:c r="H372" s="30" t="str">
        <x:v>`T11-04`</x:v>
      </x:c>
      <x:c r="I372" s="30" t="str">
        <x:v>Thắng</x:v>
      </x:c>
      <x:c r="J372" s="30" t="str">
        <x:v>☐</x:v>
      </x:c>
      <x:c r="K372" s="30" t="str">
        <x:v>Chưa bắt đầu</x:v>
      </x:c>
      <x:c r="L372" s="40" t="n">
        <x:f>IF(J372="☑",1,IF(K372="Done",1,IF(K372="Đang làm",0.5,IF(K372="Blocked",0.25,0))))</x:f>
        <x:v>0</x:v>
      </x:c>
      <x:c r="M372" s="30" t="str"/>
      <x:c r="N372" s="30" t="str"/>
    </x:row>
    <x:row r="373">
      <x:c r="A373" s="30" t="str">
        <x:v>M13</x:v>
      </x:c>
      <x:c r="B373" s="30" t="str">
        <x:v>M13-F029</x:v>
      </x:c>
      <x:c r="C373" s="30" t="str">
        <x:v>P2</x:v>
      </x:c>
      <x:c r="D373" s="30" t="str">
        <x:v>FUTURE_SCOPE</x:v>
      </x:c>
      <x:c r="E373" s="30" t="str">
        <x:v>K-WP14</x:v>
      </x:c>
      <x:c r="F373" s="30" t="str">
        <x:v>Khải</x:v>
      </x:c>
      <x:c r="G373" s="30" t="str">
        <x:v>Widget quét nhanh trên màn hình chính</x:v>
      </x:c>
      <x:c r="H373" s="30" t="str">
        <x:v>`T11-08`</x:v>
      </x:c>
      <x:c r="I373" s="30" t="str">
        <x:v>Thắng</x:v>
      </x:c>
      <x:c r="J373" s="30" t="str">
        <x:v>☐</x:v>
      </x:c>
      <x:c r="K373" s="30" t="str">
        <x:v>Chưa bắt đầu</x:v>
      </x:c>
      <x:c r="L373" s="40" t="n">
        <x:f>IF(J373="☑",1,IF(K373="Done",1,IF(K373="Đang làm",0.5,IF(K373="Blocked",0.25,0))))</x:f>
        <x:v>0</x:v>
      </x:c>
      <x:c r="M373" s="30" t="str"/>
      <x:c r="N373" s="30" t="str"/>
    </x:row>
    <x:row r="374">
      <x:c r="A374" s="30" t="str">
        <x:v>M13</x:v>
      </x:c>
      <x:c r="B374" s="30" t="str">
        <x:v>M13-F030</x:v>
      </x:c>
      <x:c r="C374" s="30" t="str">
        <x:v>P0</x:v>
      </x:c>
      <x:c r="D374" s="30" t="str">
        <x:v>MODIFY</x:v>
      </x:c>
      <x:c r="E374" s="30" t="str">
        <x:v>K-WP10</x:v>
      </x:c>
      <x:c r="F374" s="30" t="str">
        <x:v>Khải</x:v>
      </x:c>
      <x:c r="G374" s="30" t="str">
        <x:v>RabbitMQ topology chuẩn: `antiscan.topic`, `antiscan.dlx`, queues `q.scan.url\</x:v>
      </x:c>
      <x:c r="H374" s="30" t="str">
        <x:v>text\</x:v>
      </x:c>
      <x:c r="I374" s="30" t="str">
        <x:v>entity\</x:v>
      </x:c>
      <x:c r="J374" s="30" t="str">
        <x:v>☐</x:v>
      </x:c>
      <x:c r="K374" s="30" t="str">
        <x:v>Chưa bắt đầu</x:v>
      </x:c>
      <x:c r="L374" s="40" t="n">
        <x:f>IF(J374="☑",1,IF(K374="Done",1,IF(K374="Đang làm",0.5,IF(K374="Blocked",0.25,0))))</x:f>
        <x:v>0</x:v>
      </x:c>
      <x:c r="M374" s="30" t="str"/>
      <x:c r="N374" s="30" t="str"/>
    </x:row>
    <x:row r="375">
      <x:c r="A375" s="30" t="str">
        <x:v>M13</x:v>
      </x:c>
      <x:c r="B375" s="30" t="str">
        <x:v>M13-F031</x:v>
      </x:c>
      <x:c r="C375" s="30" t="str">
        <x:v>P0</x:v>
      </x:c>
      <x:c r="D375" s="30" t="str">
        <x:v>MODIFY</x:v>
      </x:c>
      <x:c r="E375" s="30" t="str">
        <x:v>K-WP10</x:v>
      </x:c>
      <x:c r="F375" s="30" t="str">
        <x:v>Khải</x:v>
      </x:c>
      <x:c r="G375" s="30" t="str">
        <x:v>PostgreSQL là source of truth; Redis chỉ cache/session-revocation/rate-limit/idempotency/lock/temporary coordination và không giữ canonical business data duy nhất.</x:v>
      </x:c>
      <x:c r="H375" s="30" t="str">
        <x:v>`ARCH-V3.3-DATA`</x:v>
      </x:c>
      <x:c r="I375" s="30" t="str">
        <x:v>—</x:v>
      </x:c>
      <x:c r="J375" s="30" t="str">
        <x:v>☐</x:v>
      </x:c>
      <x:c r="K375" s="30" t="str">
        <x:v>Chưa bắt đầu</x:v>
      </x:c>
      <x:c r="L375" s="40" t="n">
        <x:f>IF(J375="☑",1,IF(K375="Done",1,IF(K375="Đang làm",0.5,IF(K375="Blocked",0.25,0))))</x:f>
        <x:v>0</x:v>
      </x:c>
      <x:c r="M375" s="30" t="str"/>
      <x:c r="N375" s="30" t="str"/>
    </x:row>
    <x:row r="376">
      <x:c r="A376" s="30" t="str">
        <x:v>M13</x:v>
      </x:c>
      <x:c r="B376" s="30" t="str">
        <x:v>M13-F032</x:v>
      </x:c>
      <x:c r="C376" s="30" t="str">
        <x:v>P0</x:v>
      </x:c>
      <x:c r="D376" s="30" t="str">
        <x:v>ADD</x:v>
      </x:c>
      <x:c r="E376" s="30" t="str">
        <x:v>K-WP10</x:v>
      </x:c>
      <x:c r="F376" s="30" t="str">
        <x:v>Khải</x:v>
      </x:c>
      <x:c r="G376" s="30" t="str">
        <x:v>Nginx chịu TLS/reverse proxy/coarse IP-flood limit; Spring Boot + Redis chịu business quota theo user/account/API identity.</x:v>
      </x:c>
      <x:c r="H376" s="30" t="str">
        <x:v>`ARCH-35 (Architecture V3.2)`</x:v>
      </x:c>
      <x:c r="I376" s="30" t="str">
        <x:v>—</x:v>
      </x:c>
      <x:c r="J376" s="30" t="str">
        <x:v>☐</x:v>
      </x:c>
      <x:c r="K376" s="30" t="str">
        <x:v>Chưa bắt đầu</x:v>
      </x:c>
      <x:c r="L376" s="40" t="n">
        <x:f>IF(J376="☑",1,IF(K376="Done",1,IF(K376="Đang làm",0.5,IF(K376="Blocked",0.25,0))))</x:f>
        <x:v>0</x:v>
      </x:c>
      <x:c r="M376" s="30" t="str"/>
      <x:c r="N376" s="30" t="str"/>
    </x:row>
    <x:row r="377">
      <x:c r="A377" s="30" t="str">
        <x:v>M13</x:v>
      </x:c>
      <x:c r="B377" s="30" t="str">
        <x:v>M13-F033</x:v>
      </x:c>
      <x:c r="C377" s="30" t="str">
        <x:v>P0</x:v>
      </x:c>
      <x:c r="D377" s="30" t="str">
        <x:v>ADD</x:v>
      </x:c>
      <x:c r="E377" s="30" t="str">
        <x:v>K-WP10</x:v>
      </x:c>
      <x:c r="F377" s="30" t="str">
        <x:v>Khải</x:v>
      </x:c>
      <x:c r="G377" s="30" t="str">
        <x:v>MinIO/S3 lưu evidence/export/binary; PostgreSQL chỉ lưu metadata/object key/hash/MIME/size/owner relation.</x:v>
      </x:c>
      <x:c r="H377" s="30" t="str">
        <x:v>`ARCH-36 (Architecture V3.2)`</x:v>
      </x:c>
      <x:c r="I377" s="30" t="str">
        <x:v>—</x:v>
      </x:c>
      <x:c r="J377" s="30" t="str">
        <x:v>☐</x:v>
      </x:c>
      <x:c r="K377" s="30" t="str">
        <x:v>Chưa bắt đầu</x:v>
      </x:c>
      <x:c r="L377" s="40" t="n">
        <x:f>IF(J377="☑",1,IF(K377="Done",1,IF(K377="Đang làm",0.5,IF(K377="Blocked",0.25,0))))</x:f>
        <x:v>0</x:v>
      </x:c>
      <x:c r="M377" s="30" t="str"/>
      <x:c r="N377" s="30" t="str"/>
    </x:row>
    <x:row r="378">
      <x:c r="A378" s="30" t="str">
        <x:v>M13</x:v>
      </x:c>
      <x:c r="B378" s="30" t="str">
        <x:v>M13-F034</x:v>
      </x:c>
      <x:c r="C378" s="30" t="str">
        <x:v>P0</x:v>
      </x:c>
      <x:c r="D378" s="30" t="str">
        <x:v>ADD</x:v>
      </x:c>
      <x:c r="E378" s="30" t="str">
        <x:v>K-WP10</x:v>
      </x:c>
      <x:c r="F378" s="30" t="str">
        <x:v>Khải</x:v>
      </x:c>
      <x:c r="G378" s="30" t="str">
        <x:v>Network segmentation/egress policy: scanner/AI worker không truy cập PostgreSQL/Redis/core API; URL Worker chỉ thêm outbound public fetch SSRF-safe; AI/Notification worker chỉ thêm egress tới provider được cấu hình; Ingestion Worker tới feed + PG/Redis.</x:v>
      </x:c>
      <x:c r="H378" s="30" t="str">
        <x:v>`ARCH-V3.3-NET`</x:v>
      </x:c>
      <x:c r="I378" s="30" t="str">
        <x:v>—</x:v>
      </x:c>
      <x:c r="J378" s="30" t="str">
        <x:v>☐</x:v>
      </x:c>
      <x:c r="K378" s="30" t="str">
        <x:v>Chưa bắt đầu</x:v>
      </x:c>
      <x:c r="L378" s="40" t="n">
        <x:f>IF(J378="☑",1,IF(K378="Done",1,IF(K378="Đang làm",0.5,IF(K378="Blocked",0.25,0))))</x:f>
        <x:v>0</x:v>
      </x:c>
      <x:c r="M378" s="30" t="str"/>
      <x:c r="N378" s="30" t="str"/>
    </x:row>
    <x:row r="379">
      <x:c r="A379" s="30" t="str">
        <x:v>M13</x:v>
      </x:c>
      <x:c r="B379" s="30" t="str">
        <x:v>M13-F035</x:v>
      </x:c>
      <x:c r="C379" s="30" t="str">
        <x:v>P0</x:v>
      </x:c>
      <x:c r="D379" s="30" t="str">
        <x:v>ADD</x:v>
      </x:c>
      <x:c r="E379" s="30" t="str">
        <x:v>K-WP09</x:v>
      </x:c>
      <x:c r="F379" s="30" t="str">
        <x:v>Khải</x:v>
      </x:c>
      <x:c r="G379" s="30" t="str">
        <x:v>Quản lý secret/key tập trung cho JWT signing keys, OAuth/OIDC client credentials, AI provider credentials và notification provider credentials; rotate được và không lưu raw secret trong business tables.</x:v>
      </x:c>
      <x:c r="H379" s="30" t="str">
        <x:v>`ARCH-V3.3-SECRETS`</x:v>
      </x:c>
      <x:c r="I379" s="30" t="str">
        <x:v>—</x:v>
      </x:c>
      <x:c r="J379" s="30" t="str">
        <x:v>☐</x:v>
      </x:c>
      <x:c r="K379" s="30" t="str">
        <x:v>Chưa bắt đầu</x:v>
      </x:c>
      <x:c r="L379" s="40" t="n">
        <x:f>IF(J379="☑",1,IF(K379="Done",1,IF(K379="Đang làm",0.5,IF(K379="Blocked",0.25,0))))</x:f>
        <x:v>0</x:v>
      </x:c>
      <x:c r="M379" s="30" t="str"/>
      <x:c r="N379" s="30" t="str"/>
    </x:row>
    <x:row r="380">
      <x:c r="A380" s="30" t="str">
        <x:v>M14</x:v>
      </x:c>
      <x:c r="B380" s="30" t="str">
        <x:v>M14-F001</x:v>
      </x:c>
      <x:c r="C380" s="30" t="str">
        <x:v>P0</x:v>
      </x:c>
      <x:c r="D380" s="30" t="str">
        <x:v>MODIFY</x:v>
      </x:c>
      <x:c r="E380" s="30" t="str">
        <x:v>H-WP16</x:v>
      </x:c>
      <x:c r="F380" s="30" t="str">
        <x:v>Hùng</x:v>
      </x:c>
      <x:c r="G380" s="30" t="str">
        <x:v>Audit thao tác nhạy cảm: login/logout, refresh-token reuse/session revoke, password reset/change, admin duyệt báo cáo và admin sửa rule/policy.</x:v>
      </x:c>
      <x:c r="H380" s="30" t="str">
        <x:v>`H05-01 + V3.3`</x:v>
      </x:c>
      <x:c r="I380" s="30" t="str">
        <x:v>Hùng</x:v>
      </x:c>
      <x:c r="J380" s="30" t="str">
        <x:v>☐</x:v>
      </x:c>
      <x:c r="K380" s="30" t="str">
        <x:v>Chưa bắt đầu</x:v>
      </x:c>
      <x:c r="L380" s="40" t="n">
        <x:f>IF(J380="☑",1,IF(K380="Done",1,IF(K380="Đang làm",0.5,IF(K380="Blocked",0.25,0))))</x:f>
        <x:v>0</x:v>
      </x:c>
      <x:c r="M380" s="30" t="str"/>
      <x:c r="N380" s="30" t="str"/>
    </x:row>
    <x:row r="381">
      <x:c r="A381" s="30" t="str">
        <x:v>M14</x:v>
      </x:c>
      <x:c r="B381" s="30" t="str">
        <x:v>M14-F002</x:v>
      </x:c>
      <x:c r="C381" s="30" t="str">
        <x:v>P0</x:v>
      </x:c>
      <x:c r="D381" s="30" t="str">
        <x:v>MODIFY</x:v>
      </x:c>
      <x:c r="E381" s="30" t="str">
        <x:v>H-WP16</x:v>
      </x:c>
      <x:c r="F381" s="30" t="str">
        <x:v>Hùng</x:v>
      </x:c>
      <x:c r="G381" s="30" t="str">
        <x:v>Persist `audit_records`/`admin_actions` theo append-only semantics phù hợp; không để module khác tự tạo schema audit riêng.</x:v>
      </x:c>
      <x:c r="H381" s="30" t="str">
        <x:v>`H05-02`</x:v>
      </x:c>
      <x:c r="I381" s="30" t="str">
        <x:v>Hùng</x:v>
      </x:c>
      <x:c r="J381" s="30" t="str">
        <x:v>☐</x:v>
      </x:c>
      <x:c r="K381" s="30" t="str">
        <x:v>Chưa bắt đầu</x:v>
      </x:c>
      <x:c r="L381" s="40" t="n">
        <x:f>IF(J381="☑",1,IF(K381="Done",1,IF(K381="Đang làm",0.5,IF(K381="Blocked",0.25,0))))</x:f>
        <x:v>0</x:v>
      </x:c>
      <x:c r="M381" s="30" t="str"/>
      <x:c r="N381" s="30" t="str"/>
    </x:row>
    <x:row r="382">
      <x:c r="A382" s="30" t="str">
        <x:v>M14</x:v>
      </x:c>
      <x:c r="B382" s="30" t="str">
        <x:v>M14-F003</x:v>
      </x:c>
      <x:c r="C382" s="30" t="str">
        <x:v>P0</x:v>
      </x:c>
      <x:c r="D382" s="30" t="str">
        <x:v>KEEP</x:v>
      </x:c>
      <x:c r="E382" s="30" t="str">
        <x:v>H-WP16</x:v>
      </x:c>
      <x:c r="F382" s="30" t="str">
        <x:v>Hùng</x:v>
      </x:c>
      <x:c r="G382" s="30" t="str">
        <x:v>Lưu `X-Request-Id` (correlation ID) trong mỗi bản ghi</x:v>
      </x:c>
      <x:c r="H382" s="30" t="str">
        <x:v>`H05-03`</x:v>
      </x:c>
      <x:c r="I382" s="30" t="str">
        <x:v>Hùng</x:v>
      </x:c>
      <x:c r="J382" s="30" t="str">
        <x:v>☐</x:v>
      </x:c>
      <x:c r="K382" s="30" t="str">
        <x:v>Chưa bắt đầu</x:v>
      </x:c>
      <x:c r="L382" s="40" t="n">
        <x:f>IF(J382="☑",1,IF(K382="Done",1,IF(K382="Đang làm",0.5,IF(K382="Blocked",0.25,0))))</x:f>
        <x:v>0</x:v>
      </x:c>
      <x:c r="M382" s="30" t="str"/>
      <x:c r="N382" s="30" t="str"/>
    </x:row>
    <x:row r="383">
      <x:c r="A383" s="30" t="str">
        <x:v>M14</x:v>
      </x:c>
      <x:c r="B383" s="30" t="str">
        <x:v>M14-F004</x:v>
      </x:c>
      <x:c r="C383" s="30" t="str">
        <x:v>P1</x:v>
      </x:c>
      <x:c r="D383" s="30" t="str">
        <x:v>KEEP</x:v>
      </x:c>
      <x:c r="E383" s="30" t="str">
        <x:v>H-WP18</x:v>
      </x:c>
      <x:c r="F383" s="30" t="str">
        <x:v>Hùng</x:v>
      </x:c>
      <x:c r="G383" s="30" t="str">
        <x:v>Trang xem audit log cho admin, lọc theo user / hành động / khoảng thời gian</x:v>
      </x:c>
      <x:c r="H383" s="30" t="str">
        <x:v>`H05-04`</x:v>
      </x:c>
      <x:c r="I383" s="30" t="str">
        <x:v>Hùng</x:v>
      </x:c>
      <x:c r="J383" s="30" t="str">
        <x:v>☐</x:v>
      </x:c>
      <x:c r="K383" s="30" t="str">
        <x:v>Chưa bắt đầu</x:v>
      </x:c>
      <x:c r="L383" s="40" t="n">
        <x:f>IF(J383="☑",1,IF(K383="Done",1,IF(K383="Đang làm",0.5,IF(K383="Blocked",0.25,0))))</x:f>
        <x:v>0</x:v>
      </x:c>
      <x:c r="M383" s="30" t="str"/>
      <x:c r="N383" s="30" t="str"/>
    </x:row>
    <x:row r="384">
      <x:c r="A384" s="30" t="str">
        <x:v>M14</x:v>
      </x:c>
      <x:c r="B384" s="30" t="str">
        <x:v>M14-F005</x:v>
      </x:c>
      <x:c r="C384" s="30" t="str">
        <x:v>P1</x:v>
      </x:c>
      <x:c r="D384" s="30" t="str">
        <x:v>KEEP</x:v>
      </x:c>
      <x:c r="E384" s="30" t="str">
        <x:v>H-WP18</x:v>
      </x:c>
      <x:c r="F384" s="30" t="str">
        <x:v>Hùng</x:v>
      </x:c>
      <x:c r="G384" s="30" t="str">
        <x:v>Ghi kèm IP và User-Agent</x:v>
      </x:c>
      <x:c r="H384" s="30" t="str">
        <x:v>`H05-05`</x:v>
      </x:c>
      <x:c r="I384" s="30" t="str">
        <x:v>Hùng</x:v>
      </x:c>
      <x:c r="J384" s="30" t="str">
        <x:v>☐</x:v>
      </x:c>
      <x:c r="K384" s="30" t="str">
        <x:v>Chưa bắt đầu</x:v>
      </x:c>
      <x:c r="L384" s="40" t="n">
        <x:f>IF(J384="☑",1,IF(K384="Done",1,IF(K384="Đang làm",0.5,IF(K384="Blocked",0.25,0))))</x:f>
        <x:v>0</x:v>
      </x:c>
      <x:c r="M384" s="30" t="str"/>
      <x:c r="N384" s="30" t="str"/>
    </x:row>
    <x:row r="385">
      <x:c r="A385" s="30" t="str">
        <x:v>M14</x:v>
      </x:c>
      <x:c r="B385" s="30" t="str">
        <x:v>M14-F006</x:v>
      </x:c>
      <x:c r="C385" s="30" t="str">
        <x:v>P2</x:v>
      </x:c>
      <x:c r="D385" s="30" t="str">
        <x:v>KEEP</x:v>
      </x:c>
      <x:c r="E385" s="30" t="str">
        <x:v>H-WP18</x:v>
      </x:c>
      <x:c r="F385" s="30" t="str">
        <x:v>Hùng</x:v>
      </x:c>
      <x:c r="G385" s="30" t="str">
        <x:v>Xuất audit log ra CSV phục vụ điều tra</x:v>
      </x:c>
      <x:c r="H385" s="30" t="str">
        <x:v>`H05-06`</x:v>
      </x:c>
      <x:c r="I385" s="30" t="str">
        <x:v>Hùng</x:v>
      </x:c>
      <x:c r="J385" s="30" t="str">
        <x:v>☐</x:v>
      </x:c>
      <x:c r="K385" s="30" t="str">
        <x:v>Chưa bắt đầu</x:v>
      </x:c>
      <x:c r="L385" s="40" t="n">
        <x:f>IF(J385="☑",1,IF(K385="Done",1,IF(K385="Đang làm",0.5,IF(K385="Blocked",0.25,0))))</x:f>
        <x:v>0</x:v>
      </x:c>
      <x:c r="M385" s="30" t="str"/>
      <x:c r="N385" s="30" t="str"/>
    </x:row>
    <x:row r="386">
      <x:c r="A386" s="30" t="str">
        <x:v>M14</x:v>
      </x:c>
      <x:c r="B386" s="30" t="str">
        <x:v>M14-F007</x:v>
      </x:c>
      <x:c r="C386" s="30" t="str">
        <x:v>P2</x:v>
      </x:c>
      <x:c r="D386" s="30" t="str">
        <x:v>KEEP</x:v>
      </x:c>
      <x:c r="E386" s="30" t="str">
        <x:v>H-WP18</x:v>
      </x:c>
      <x:c r="F386" s="30" t="str">
        <x:v>Hùng</x:v>
      </x:c>
      <x:c r="G386" s="30" t="str">
        <x:v>Cảnh báo khi phát hiện chuỗi thao tác bất thường</x:v>
      </x:c>
      <x:c r="H386" s="30" t="str">
        <x:v>`H05-07`</x:v>
      </x:c>
      <x:c r="I386" s="30" t="str">
        <x:v>Hùng</x:v>
      </x:c>
      <x:c r="J386" s="30" t="str">
        <x:v>☐</x:v>
      </x:c>
      <x:c r="K386" s="30" t="str">
        <x:v>Chưa bắt đầu</x:v>
      </x:c>
      <x:c r="L386" s="40" t="n">
        <x:f>IF(J386="☑",1,IF(K386="Done",1,IF(K386="Đang làm",0.5,IF(K386="Blocked",0.25,0))))</x:f>
        <x:v>0</x:v>
      </x:c>
      <x:c r="M386" s="30" t="str"/>
      <x:c r="N386" s="30" t="str"/>
    </x:row>
    <x:row r="387">
      <x:c r="A387" s="30" t="str">
        <x:v>M14</x:v>
      </x:c>
      <x:c r="B387" s="30" t="str">
        <x:v>M14-F008</x:v>
      </x:c>
      <x:c r="C387" s="30" t="str">
        <x:v>P0</x:v>
      </x:c>
      <x:c r="D387" s="30" t="str">
        <x:v>ADD</x:v>
      </x:c>
      <x:c r="E387" s="30" t="str">
        <x:v>H-WP17</x:v>
      </x:c>
      <x:c r="F387" s="30" t="str">
        <x:v>Hùng</x:v>
      </x:c>
      <x:c r="G387" s="30" t="str">
        <x:v>Chuẩn hóa correlation metadata xuyên pipeline: `correlationId`, `eventId`, `jobId`, `taskId`, `scanId`, `processorVersion`, `eventVersion`; cho phép truy vết từ request tới worker/AI/DLQ.</x:v>
      </x:c>
      <x:c r="H387" s="30" t="str">
        <x:v>`ARCH-V3.2-M14-01`</x:v>
      </x:c>
      <x:c r="I387" s="30" t="str">
        <x:v>—</x:v>
      </x:c>
      <x:c r="J387" s="30" t="str">
        <x:v>☐</x:v>
      </x:c>
      <x:c r="K387" s="30" t="str">
        <x:v>Chưa bắt đầu</x:v>
      </x:c>
      <x:c r="L387" s="40" t="n">
        <x:f>IF(J387="☑",1,IF(K387="Done",1,IF(K387="Đang làm",0.5,IF(K387="Blocked",0.25,0))))</x:f>
        <x:v>0</x:v>
      </x:c>
      <x:c r="M387" s="30" t="str"/>
      <x:c r="N387" s="30" t="str"/>
    </x:row>
    <x:row r="388">
      <x:c r="A388" s="30" t="str">
        <x:v>M14</x:v>
      </x:c>
      <x:c r="B388" s="30" t="str">
        <x:v>M14-F009</x:v>
      </x:c>
      <x:c r="C388" s="30" t="str">
        <x:v>P1</x:v>
      </x:c>
      <x:c r="D388" s="30" t="str">
        <x:v>ADD</x:v>
      </x:c>
      <x:c r="E388" s="30" t="str">
        <x:v>H-WP17</x:v>
      </x:c>
      <x:c r="F388" s="30" t="str">
        <x:v>Hùng</x:v>
      </x:c>
      <x:c r="G388" s="30" t="str">
        <x:v>Ghi operational metadata cho scan/worker/AI failure, retry, DLQ và late AI result; không tạo business effect lần hai khi event bị duplicate.</x:v>
      </x:c>
      <x:c r="H388" s="30" t="str">
        <x:v>`ARCH-V3.2-M14-02`</x:v>
      </x:c>
      <x:c r="I388" s="30" t="str">
        <x:v>—</x:v>
      </x:c>
      <x:c r="J388" s="30" t="str">
        <x:v>☐</x:v>
      </x:c>
      <x:c r="K388" s="30" t="str">
        <x:v>Chưa bắt đầu</x:v>
      </x:c>
      <x:c r="L388" s="40" t="n">
        <x:f>IF(J388="☑",1,IF(K388="Done",1,IF(K388="Đang làm",0.5,IF(K388="Blocked",0.25,0))))</x:f>
        <x:v>0</x:v>
      </x:c>
      <x:c r="M388" s="30" t="str"/>
      <x:c r="N388" s="30" t="str"/>
    </x:row>
    <x:row r="389">
      <x:c r="A389" s="30" t="str">
        <x:v>M14</x:v>
      </x:c>
      <x:c r="B389" s="30" t="str">
        <x:v>M14-F010</x:v>
      </x:c>
      <x:c r="C389" s="30" t="str">
        <x:v>P1</x:v>
      </x:c>
      <x:c r="D389" s="30" t="str">
        <x:v>ADD</x:v>
      </x:c>
      <x:c r="E389" s="30" t="str">
        <x:v>H-WP18</x:v>
      </x:c>
      <x:c r="F389" s="30" t="str">
        <x:v>Hùng</x:v>
      </x:c>
      <x:c r="G389" s="30" t="str">
        <x:v>Admin/Operations có thể lọc audit theo actor/action/resource/time và các correlation IDs; sensitive fields phải mask/redact.</x:v>
      </x:c>
      <x:c r="H389" s="30" t="str">
        <x:v>`ARCH-V3.2-M14-03`</x:v>
      </x:c>
      <x:c r="I389" s="30" t="str">
        <x:v>—</x:v>
      </x:c>
      <x:c r="J389" s="30" t="str">
        <x:v>☐</x:v>
      </x:c>
      <x:c r="K389" s="30" t="str">
        <x:v>Chưa bắt đầu</x:v>
      </x:c>
      <x:c r="L389" s="40" t="n">
        <x:f>IF(J389="☑",1,IF(K389="Done",1,IF(K389="Đang làm",0.5,IF(K389="Blocked",0.25,0))))</x:f>
        <x:v>0</x:v>
      </x:c>
      <x:c r="M389" s="30" t="str"/>
      <x:c r="N389" s="30" t="str"/>
    </x:row>
    <x:row r="390">
      <x:c r="A390" s="30" t="str">
        <x:v>M14</x:v>
      </x:c>
      <x:c r="B390" s="30" t="str">
        <x:v>M14-F011</x:v>
      </x:c>
      <x:c r="C390" s="30" t="str">
        <x:v>P0</x:v>
      </x:c>
      <x:c r="D390" s="30" t="str">
        <x:v>ADD</x:v>
      </x:c>
      <x:c r="E390" s="30" t="str">
        <x:v>H-WP16</x:v>
      </x:c>
      <x:c r="F390" s="30" t="str">
        <x:v>Hùng</x:v>
      </x:c>
      <x:c r="G390" s="30" t="str">
        <x:v>Security audit cho auth-session lifecycle/reuse detection phải trace được theo user/session/correlation nhưng tuyệt đối không ghi raw access token, refresh token, OTP hoặc provider assertion.</x:v>
      </x:c>
      <x:c r="H390" s="30" t="str">
        <x:v>`ARCH-V3.3-AUDIT`</x:v>
      </x:c>
      <x:c r="I390" s="30" t="str">
        <x:v>—</x:v>
      </x:c>
      <x:c r="J390" s="30" t="str">
        <x:v>☐</x:v>
      </x:c>
      <x:c r="K390" s="30" t="str">
        <x:v>Chưa bắt đầu</x:v>
      </x:c>
      <x:c r="L390" s="40" t="n">
        <x:f>IF(J390="☑",1,IF(K390="Done",1,IF(K390="Đang làm",0.5,IF(K390="Blocked",0.25,0))))</x:f>
        <x:v>0</x:v>
      </x:c>
      <x:c r="M390" s="30" t="str"/>
      <x:c r="N390" s="30" t="str"/>
    </x:row>
    <x:row r="391">
      <x:c r="A391" s="30" t="str">
        <x:v>FUTURE</x:v>
      </x:c>
      <x:c r="B391" s="30" t="str">
        <x:v>FUTURE-F001</x:v>
      </x:c>
      <x:c r="C391" s="30" t="str">
        <x:v>P2</x:v>
      </x:c>
      <x:c r="D391" s="30" t="str">
        <x:v>FUTURE_SCOPE</x:v>
      </x:c>
      <x:c r="E391" s="30" t="str">
        <x:v>K-FWP01</x:v>
      </x:c>
      <x:c r="F391" s="30" t="str">
        <x:v>Khải</x:v>
      </x:c>
      <x:c r="G391" s="30" t="str">
        <x:v>Extension Chrome/Edge cảnh báo khi truy cập tên miền trong danh sách đen</x:v>
      </x:c>
      <x:c r="H391" s="30" t="str">
        <x:v>`K10-01`</x:v>
      </x:c>
      <x:c r="I391" s="30" t="str">
        <x:v>Khải</x:v>
      </x:c>
      <x:c r="J391" s="30" t="str">
        <x:v>☐</x:v>
      </x:c>
      <x:c r="K391" s="30" t="str">
        <x:v>Chưa bắt đầu</x:v>
      </x:c>
      <x:c r="L391" s="40" t="n">
        <x:f>IF(J391="☑",1,IF(K391="Done",1,IF(K391="Đang làm",0.5,IF(K391="Blocked",0.25,0))))</x:f>
        <x:v>0</x:v>
      </x:c>
      <x:c r="M391" s="30" t="str"/>
      <x:c r="N391" s="30" t="str"/>
    </x:row>
    <x:row r="392">
      <x:c r="A392" s="30" t="str">
        <x:v>FUTURE</x:v>
      </x:c>
      <x:c r="B392" s="30" t="str">
        <x:v>FUTURE-F002</x:v>
      </x:c>
      <x:c r="C392" s="30" t="str">
        <x:v>P2</x:v>
      </x:c>
      <x:c r="D392" s="30" t="str">
        <x:v>FUTURE_SCOPE</x:v>
      </x:c>
      <x:c r="E392" s="30" t="str">
        <x:v>K-FWP01</x:v>
      </x:c>
      <x:c r="F392" s="30" t="str">
        <x:v>Khải</x:v>
      </x:c>
      <x:c r="G392" s="30" t="str">
        <x:v>Chèn nhãn an toàn cạnh link trong kết quả tìm kiếm và mạng xã hội</x:v>
      </x:c>
      <x:c r="H392" s="30" t="str">
        <x:v>`K10-02`</x:v>
      </x:c>
      <x:c r="I392" s="30" t="str">
        <x:v>Khải</x:v>
      </x:c>
      <x:c r="J392" s="30" t="str">
        <x:v>☐</x:v>
      </x:c>
      <x:c r="K392" s="30" t="str">
        <x:v>Chưa bắt đầu</x:v>
      </x:c>
      <x:c r="L392" s="40" t="n">
        <x:f>IF(J392="☑",1,IF(K392="Done",1,IF(K392="Đang làm",0.5,IF(K392="Blocked",0.25,0))))</x:f>
        <x:v>0</x:v>
      </x:c>
      <x:c r="M392" s="30" t="str"/>
      <x:c r="N392" s="30" t="str"/>
    </x:row>
    <x:row r="393">
      <x:c r="A393" s="30" t="str">
        <x:v>FUTURE</x:v>
      </x:c>
      <x:c r="B393" s="30" t="str">
        <x:v>FUTURE-F003</x:v>
      </x:c>
      <x:c r="C393" s="30" t="str">
        <x:v>P2</x:v>
      </x:c>
      <x:c r="D393" s="30" t="str">
        <x:v>FUTURE_SCOPE</x:v>
      </x:c>
      <x:c r="E393" s="30" t="str">
        <x:v>K-FWP01</x:v>
      </x:c>
      <x:c r="F393" s="30" t="str">
        <x:v>Khải</x:v>
      </x:c>
      <x:c r="G393" s="30" t="str">
        <x:v>Chuột phải vào link để quét ngay</x:v>
      </x:c>
      <x:c r="H393" s="30" t="str">
        <x:v>`K10-03`</x:v>
      </x:c>
      <x:c r="I393" s="30" t="str">
        <x:v>Khải</x:v>
      </x:c>
      <x:c r="J393" s="30" t="str">
        <x:v>☐</x:v>
      </x:c>
      <x:c r="K393" s="30" t="str">
        <x:v>Chưa bắt đầu</x:v>
      </x:c>
      <x:c r="L393" s="40" t="n">
        <x:f>IF(J393="☑",1,IF(K393="Done",1,IF(K393="Đang làm",0.5,IF(K393="Blocked",0.25,0))))</x:f>
        <x:v>0</x:v>
      </x:c>
      <x:c r="M393" s="30" t="str"/>
      <x:c r="N393" s="30" t="str"/>
    </x:row>
    <x:row r="394">
      <x:c r="A394" s="30" t="str">
        <x:v>FUTURE</x:v>
      </x:c>
      <x:c r="B394" s="30" t="str">
        <x:v>FUTURE-F004</x:v>
      </x:c>
      <x:c r="C394" s="30" t="str">
        <x:v>P2</x:v>
      </x:c>
      <x:c r="D394" s="30" t="str">
        <x:v>FUTURE_SCOPE</x:v>
      </x:c>
      <x:c r="E394" s="30" t="str">
        <x:v>K-FWP01</x:v>
      </x:c>
      <x:c r="F394" s="30" t="str">
        <x:v>Khải</x:v>
      </x:c>
      <x:c r="G394" s="30" t="str">
        <x:v>Chặn trang nguy hiểm bằng màn hình cảnh báo có nút bỏ qua</x:v>
      </x:c>
      <x:c r="H394" s="30" t="str">
        <x:v>`K10-04`</x:v>
      </x:c>
      <x:c r="I394" s="30" t="str">
        <x:v>Khải</x:v>
      </x:c>
      <x:c r="J394" s="30" t="str">
        <x:v>☐</x:v>
      </x:c>
      <x:c r="K394" s="30" t="str">
        <x:v>Chưa bắt đầu</x:v>
      </x:c>
      <x:c r="L394" s="40" t="n">
        <x:f>IF(J394="☑",1,IF(K394="Done",1,IF(K394="Đang làm",0.5,IF(K394="Blocked",0.25,0))))</x:f>
        <x:v>0</x:v>
      </x:c>
      <x:c r="M394" s="30" t="str"/>
      <x:c r="N394" s="30" t="str"/>
    </x:row>
    <x:row r="395">
      <x:c r="A395" s="30" t="str">
        <x:v>FUTURE</x:v>
      </x:c>
      <x:c r="B395" s="30" t="str">
        <x:v>FUTURE-F005</x:v>
      </x:c>
      <x:c r="C395" s="30" t="str">
        <x:v>P2</x:v>
      </x:c>
      <x:c r="D395" s="30" t="str">
        <x:v>FUTURE_SCOPE</x:v>
      </x:c>
      <x:c r="E395" s="30" t="str">
        <x:v>K-FWP01</x:v>
      </x:c>
      <x:c r="F395" s="30" t="str">
        <x:v>Khải</x:v>
      </x:c>
      <x:c r="G395" s="30" t="str">
        <x:v>Đồng bộ lịch sử quét với tài khoản</x:v>
      </x:c>
      <x:c r="H395" s="30" t="str">
        <x:v>`K10-05`</x:v>
      </x:c>
      <x:c r="I395" s="30" t="str">
        <x:v>Khải</x:v>
      </x:c>
      <x:c r="J395" s="30" t="str">
        <x:v>☐</x:v>
      </x:c>
      <x:c r="K395" s="30" t="str">
        <x:v>Chưa bắt đầu</x:v>
      </x:c>
      <x:c r="L395" s="40" t="n">
        <x:f>IF(J395="☑",1,IF(K395="Done",1,IF(K395="Đang làm",0.5,IF(K395="Blocked",0.25,0))))</x:f>
        <x:v>0</x:v>
      </x:c>
      <x:c r="M395" s="30" t="str"/>
      <x:c r="N395" s="30" t="str"/>
    </x:row>
    <x:row r="396">
      <x:c r="A396" s="30" t="str">
        <x:v>FUTURE</x:v>
      </x:c>
      <x:c r="B396" s="30" t="str">
        <x:v>FUTURE-F006</x:v>
      </x:c>
      <x:c r="C396" s="30" t="str">
        <x:v>P2</x:v>
      </x:c>
      <x:c r="D396" s="30" t="str">
        <x:v>FUTURE_SCOPE</x:v>
      </x:c>
      <x:c r="E396" s="30" t="str">
        <x:v>K-FWP01</x:v>
      </x:c>
      <x:c r="F396" s="30" t="str">
        <x:v>Khải</x:v>
      </x:c>
      <x:c r="G396" s="30" t="str">
        <x:v>Chế độ ngoại tuyến dùng danh sách đen tải sẵn</x:v>
      </x:c>
      <x:c r="H396" s="30" t="str">
        <x:v>`K10-06`</x:v>
      </x:c>
      <x:c r="I396" s="30" t="str">
        <x:v>Khải</x:v>
      </x:c>
      <x:c r="J396" s="30" t="str">
        <x:v>☐</x:v>
      </x:c>
      <x:c r="K396" s="30" t="str">
        <x:v>Chưa bắt đầu</x:v>
      </x:c>
      <x:c r="L396" s="40" t="n">
        <x:f>IF(J396="☑",1,IF(K396="Done",1,IF(K396="Đang làm",0.5,IF(K396="Blocked",0.25,0))))</x:f>
        <x:v>0</x:v>
      </x:c>
      <x:c r="M396" s="30" t="str"/>
      <x:c r="N396" s="30" t="str"/>
    </x:row>
    <x:row r="397">
      <x:c r="A397" s="30" t="str">
        <x:v>FUTURE</x:v>
      </x:c>
      <x:c r="B397" s="30" t="str">
        <x:v>FUTURE-F007</x:v>
      </x:c>
      <x:c r="C397" s="30" t="str">
        <x:v>P2</x:v>
      </x:c>
      <x:c r="D397" s="30" t="str">
        <x:v>FUTURE_SCOPE</x:v>
      </x:c>
      <x:c r="E397" s="30" t="str">
        <x:v>I-FWP01</x:v>
      </x:c>
      <x:c r="F397" s="30" t="str">
        <x:v>Kiên</x:v>
      </x:c>
      <x:c r="G397" s="30" t="str">
        <x:v>Bài viết hướng dẫn nhận biết từng loại lừa đảo</x:v>
      </x:c>
      <x:c r="H397" s="30" t="str">
        <x:v>`R09-01`</x:v>
      </x:c>
      <x:c r="I397" s="30" t="str">
        <x:v>Kiên</x:v>
      </x:c>
      <x:c r="J397" s="30" t="str">
        <x:v>☐</x:v>
      </x:c>
      <x:c r="K397" s="30" t="str">
        <x:v>Chưa bắt đầu</x:v>
      </x:c>
      <x:c r="L397" s="40" t="n">
        <x:f>IF(J397="☑",1,IF(K397="Done",1,IF(K397="Đang làm",0.5,IF(K397="Blocked",0.25,0))))</x:f>
        <x:v>0</x:v>
      </x:c>
      <x:c r="M397" s="30" t="str"/>
      <x:c r="N397" s="30" t="str"/>
    </x:row>
    <x:row r="398">
      <x:c r="A398" s="30" t="str">
        <x:v>FUTURE</x:v>
      </x:c>
      <x:c r="B398" s="30" t="str">
        <x:v>FUTURE-F008</x:v>
      </x:c>
      <x:c r="C398" s="30" t="str">
        <x:v>P2</x:v>
      </x:c>
      <x:c r="D398" s="30" t="str">
        <x:v>FUTURE_SCOPE</x:v>
      </x:c>
      <x:c r="E398" s="30" t="str">
        <x:v>I-FWP01</x:v>
      </x:c>
      <x:c r="F398" s="30" t="str">
        <x:v>Kiên</x:v>
      </x:c>
      <x:c r="G398" s="30" t="str">
        <x:v>Danh mục theo chủ đề, có tìm kiếm</x:v>
      </x:c>
      <x:c r="H398" s="30" t="str">
        <x:v>`R09-02`</x:v>
      </x:c>
      <x:c r="I398" s="30" t="str">
        <x:v>Kiên</x:v>
      </x:c>
      <x:c r="J398" s="30" t="str">
        <x:v>☐</x:v>
      </x:c>
      <x:c r="K398" s="30" t="str">
        <x:v>Chưa bắt đầu</x:v>
      </x:c>
      <x:c r="L398" s="40" t="n">
        <x:f>IF(J398="☑",1,IF(K398="Done",1,IF(K398="Đang làm",0.5,IF(K398="Blocked",0.25,0))))</x:f>
        <x:v>0</x:v>
      </x:c>
      <x:c r="M398" s="30" t="str"/>
      <x:c r="N398" s="30" t="str"/>
    </x:row>
    <x:row r="399">
      <x:c r="A399" s="30" t="str">
        <x:v>FUTURE</x:v>
      </x:c>
      <x:c r="B399" s="30" t="str">
        <x:v>FUTURE-F009</x:v>
      </x:c>
      <x:c r="C399" s="30" t="str">
        <x:v>P2</x:v>
      </x:c>
      <x:c r="D399" s="30" t="str">
        <x:v>FUTURE_SCOPE</x:v>
      </x:c>
      <x:c r="E399" s="30" t="str">
        <x:v>I-FWP01</x:v>
      </x:c>
      <x:c r="F399" s="30" t="str">
        <x:v>Kiên</x:v>
      </x:c>
      <x:c r="G399" s="30" t="str">
        <x:v>Gợi ý bài viết liên quan ngay trong trang kết quả quét</x:v>
      </x:c>
      <x:c r="H399" s="30" t="str">
        <x:v>`R09-03`</x:v>
      </x:c>
      <x:c r="I399" s="30" t="str">
        <x:v>Kiên</x:v>
      </x:c>
      <x:c r="J399" s="30" t="str">
        <x:v>☐</x:v>
      </x:c>
      <x:c r="K399" s="30" t="str">
        <x:v>Chưa bắt đầu</x:v>
      </x:c>
      <x:c r="L399" s="40" t="n">
        <x:f>IF(J399="☑",1,IF(K399="Done",1,IF(K399="Đang làm",0.5,IF(K399="Blocked",0.25,0))))</x:f>
        <x:v>0</x:v>
      </x:c>
      <x:c r="M399" s="30" t="str"/>
      <x:c r="N399" s="30" t="str"/>
    </x:row>
    <x:row r="400">
      <x:c r="A400" s="30" t="str">
        <x:v>FUTURE</x:v>
      </x:c>
      <x:c r="B400" s="30" t="str">
        <x:v>FUTURE-F010</x:v>
      </x:c>
      <x:c r="C400" s="30" t="str">
        <x:v>P2</x:v>
      </x:c>
      <x:c r="D400" s="30" t="str">
        <x:v>FUTURE_SCOPE</x:v>
      </x:c>
      <x:c r="E400" s="30" t="str">
        <x:v>I-FWP01</x:v>
      </x:c>
      <x:c r="F400" s="30" t="str">
        <x:v>Kiên</x:v>
      </x:c>
      <x:c r="G400" s="30" t="str">
        <x:v>Trang admin soạn và xuất bản bài viết</x:v>
      </x:c>
      <x:c r="H400" s="30" t="str">
        <x:v>`R09-04`</x:v>
      </x:c>
      <x:c r="I400" s="30" t="str">
        <x:v>Kiên</x:v>
      </x:c>
      <x:c r="J400" s="30" t="str">
        <x:v>☐</x:v>
      </x:c>
      <x:c r="K400" s="30" t="str">
        <x:v>Chưa bắt đầu</x:v>
      </x:c>
      <x:c r="L400" s="40" t="n">
        <x:f>IF(J400="☑",1,IF(K400="Done",1,IF(K400="Đang làm",0.5,IF(K400="Blocked",0.25,0))))</x:f>
        <x:v>0</x:v>
      </x:c>
      <x:c r="M400" s="30" t="str"/>
      <x:c r="N400" s="30" t="str"/>
    </x:row>
    <x:row r="401">
      <x:c r="A401" s="30" t="str">
        <x:v>FUTURE</x:v>
      </x:c>
      <x:c r="B401" s="30" t="str">
        <x:v>FUTURE-F011</x:v>
      </x:c>
      <x:c r="C401" s="30" t="str">
        <x:v>P2</x:v>
      </x:c>
      <x:c r="D401" s="30" t="str">
        <x:v>FUTURE_SCOPE</x:v>
      </x:c>
      <x:c r="E401" s="30" t="str">
        <x:v>I-FWP01</x:v>
      </x:c>
      <x:c r="F401" s="30" t="str">
        <x:v>Kiên</x:v>
      </x:c>
      <x:c r="G401" s="30" t="str">
        <x:v>Cảnh báo xu hướng lừa đảo mới theo tuần</x:v>
      </x:c>
      <x:c r="H401" s="30" t="str">
        <x:v>`R09-05`</x:v>
      </x:c>
      <x:c r="I401" s="30" t="str">
        <x:v>Kiên</x:v>
      </x:c>
      <x:c r="J401" s="30" t="str">
        <x:v>☐</x:v>
      </x:c>
      <x:c r="K401" s="30" t="str">
        <x:v>Chưa bắt đầu</x:v>
      </x:c>
      <x:c r="L401" s="40" t="n">
        <x:f>IF(J401="☑",1,IF(K401="Done",1,IF(K401="Đang làm",0.5,IF(K401="Blocked",0.25,0))))</x:f>
        <x:v>0</x:v>
      </x:c>
      <x:c r="M401" s="30" t="str"/>
      <x:c r="N401" s="30" t="str"/>
    </x:row>
    <x:row r="402">
      <x:c r="A402" s="30" t="str">
        <x:v>FUTURE</x:v>
      </x:c>
      <x:c r="B402" s="30" t="str">
        <x:v>FUTURE-F012</x:v>
      </x:c>
      <x:c r="C402" s="30" t="str">
        <x:v>P2</x:v>
      </x:c>
      <x:c r="D402" s="30" t="str">
        <x:v>FUTURE_SCOPE</x:v>
      </x:c>
      <x:c r="E402" s="30" t="str">
        <x:v>I-FWP01</x:v>
      </x:c>
      <x:c r="F402" s="30" t="str">
        <x:v>Kiên</x:v>
      </x:c>
      <x:c r="G402" s="30" t="str">
        <x:v>Nội dung dạng thẻ ngắn cho người lớn tuổi, chữ to, ít thuật ngữ</x:v>
      </x:c>
      <x:c r="H402" s="30" t="str">
        <x:v>`R09-06`</x:v>
      </x:c>
      <x:c r="I402" s="30" t="str">
        <x:v>Kiên</x:v>
      </x:c>
      <x:c r="J402" s="30" t="str">
        <x:v>☐</x:v>
      </x:c>
      <x:c r="K402" s="30" t="str">
        <x:v>Chưa bắt đầu</x:v>
      </x:c>
      <x:c r="L402" s="40" t="n">
        <x:f>IF(J402="☑",1,IF(K402="Done",1,IF(K402="Đang làm",0.5,IF(K402="Blocked",0.25,0))))</x:f>
        <x:v>0</x:v>
      </x:c>
      <x:c r="M402" s="30" t="str"/>
      <x:c r="N402" s="30" t="str"/>
    </x:row>
    <x:row r="403">
      <x:c r="A403" s="30" t="str">
        <x:v>FUTURE</x:v>
      </x:c>
      <x:c r="B403" s="30" t="str">
        <x:v>FUTURE-F013</x:v>
      </x:c>
      <x:c r="C403" s="30" t="str">
        <x:v>P2</x:v>
      </x:c>
      <x:c r="D403" s="30" t="str">
        <x:v>FUTURE_SCOPE</x:v>
      </x:c>
      <x:c r="E403" s="30" t="str">
        <x:v>T-FWP01</x:v>
      </x:c>
      <x:c r="F403" s="30" t="str">
        <x:v>Thắng</x:v>
      </x:c>
      <x:c r="G403" s="30" t="str">
        <x:v>Giao diện hỏi đáp: "Tin nhắn này có phải lừa đảo không?"</x:v>
      </x:c>
      <x:c r="H403" s="30" t="str">
        <x:v>`R10-01`</x:v>
      </x:c>
      <x:c r="I403" s="30" t="str">
        <x:v>Kiên</x:v>
      </x:c>
      <x:c r="J403" s="30" t="str">
        <x:v>☐</x:v>
      </x:c>
      <x:c r="K403" s="30" t="str">
        <x:v>Chưa bắt đầu</x:v>
      </x:c>
      <x:c r="L403" s="40" t="n">
        <x:f>IF(J403="☑",1,IF(K403="Done",1,IF(K403="Đang làm",0.5,IF(K403="Blocked",0.25,0))))</x:f>
        <x:v>0</x:v>
      </x:c>
      <x:c r="M403" s="30" t="str"/>
      <x:c r="N403" s="30" t="str"/>
    </x:row>
    <x:row r="404">
      <x:c r="A404" s="30" t="str">
        <x:v>FUTURE</x:v>
      </x:c>
      <x:c r="B404" s="30" t="str">
        <x:v>FUTURE-F014</x:v>
      </x:c>
      <x:c r="C404" s="30" t="str">
        <x:v>P2</x:v>
      </x:c>
      <x:c r="D404" s="30" t="str">
        <x:v>FUTURE_SCOPE</x:v>
      </x:c>
      <x:c r="E404" s="30" t="str">
        <x:v>T-FWP01</x:v>
      </x:c>
      <x:c r="F404" s="30" t="str">
        <x:v>Thắng</x:v>
      </x:c>
      <x:c r="G404" s="30" t="str">
        <x:v>Trả lời dựa trên thư viện kiến thức, có trích dẫn nguồn</x:v>
      </x:c>
      <x:c r="H404" s="30" t="str">
        <x:v>`R10-02`</x:v>
      </x:c>
      <x:c r="I404" s="30" t="str">
        <x:v>Kiên</x:v>
      </x:c>
      <x:c r="J404" s="30" t="str">
        <x:v>☐</x:v>
      </x:c>
      <x:c r="K404" s="30" t="str">
        <x:v>Chưa bắt đầu</x:v>
      </x:c>
      <x:c r="L404" s="40" t="n">
        <x:f>IF(J404="☑",1,IF(K404="Done",1,IF(K404="Đang làm",0.5,IF(K404="Blocked",0.25,0))))</x:f>
        <x:v>0</x:v>
      </x:c>
      <x:c r="M404" s="30" t="str"/>
      <x:c r="N404" s="30" t="str"/>
    </x:row>
    <x:row r="405">
      <x:c r="A405" s="30" t="str">
        <x:v>FUTURE</x:v>
      </x:c>
      <x:c r="B405" s="30" t="str">
        <x:v>FUTURE-F015</x:v>
      </x:c>
      <x:c r="C405" s="30" t="str">
        <x:v>P2</x:v>
      </x:c>
      <x:c r="D405" s="30" t="str">
        <x:v>FUTURE_SCOPE</x:v>
      </x:c>
      <x:c r="E405" s="30" t="str">
        <x:v>T-FWP01</x:v>
      </x:c>
      <x:c r="F405" s="30" t="str">
        <x:v>Thắng</x:v>
      </x:c>
      <x:c r="G405" s="30" t="str">
        <x:v>Gợi ý hành động tiếp theo tuỳ tình huống người dùng mô tả</x:v>
      </x:c>
      <x:c r="H405" s="30" t="str">
        <x:v>`R10-03`</x:v>
      </x:c>
      <x:c r="I405" s="30" t="str">
        <x:v>Kiên</x:v>
      </x:c>
      <x:c r="J405" s="30" t="str">
        <x:v>☐</x:v>
      </x:c>
      <x:c r="K405" s="30" t="str">
        <x:v>Chưa bắt đầu</x:v>
      </x:c>
      <x:c r="L405" s="40" t="n">
        <x:f>IF(J405="☑",1,IF(K405="Done",1,IF(K405="Đang làm",0.5,IF(K405="Blocked",0.25,0))))</x:f>
        <x:v>0</x:v>
      </x:c>
      <x:c r="M405" s="30" t="str"/>
      <x:c r="N405" s="30" t="str"/>
    </x:row>
    <x:row r="406">
      <x:c r="A406" s="30" t="str">
        <x:v>FUTURE</x:v>
      </x:c>
      <x:c r="B406" s="30" t="str">
        <x:v>FUTURE-F016</x:v>
      </x:c>
      <x:c r="C406" s="30" t="str">
        <x:v>P2</x:v>
      </x:c>
      <x:c r="D406" s="30" t="str">
        <x:v>FUTURE_SCOPE</x:v>
      </x:c>
      <x:c r="E406" s="30" t="str">
        <x:v>T-FWP01</x:v>
      </x:c>
      <x:c r="F406" s="30" t="str">
        <x:v>Thắng</x:v>
      </x:c>
      <x:c r="G406" s="30" t="str">
        <x:v>Bàn giao sang biểu mẫu báo cáo khi xác định là lừa đảo</x:v>
      </x:c>
      <x:c r="H406" s="30" t="str">
        <x:v>`R10-04`</x:v>
      </x:c>
      <x:c r="I406" s="30" t="str">
        <x:v>Kiên</x:v>
      </x:c>
      <x:c r="J406" s="30" t="str">
        <x:v>☐</x:v>
      </x:c>
      <x:c r="K406" s="30" t="str">
        <x:v>Chưa bắt đầu</x:v>
      </x:c>
      <x:c r="L406" s="40" t="n">
        <x:f>IF(J406="☑",1,IF(K406="Done",1,IF(K406="Đang làm",0.5,IF(K406="Blocked",0.25,0))))</x:f>
        <x:v>0</x:v>
      </x:c>
      <x:c r="M406" s="30" t="str"/>
      <x:c r="N406" s="30" t="str"/>
    </x:row>
    <x:row r="407">
      <x:c r="A407" s="30" t="str">
        <x:v>FUTURE</x:v>
      </x:c>
      <x:c r="B407" s="30" t="str">
        <x:v>FUTURE-F017</x:v>
      </x:c>
      <x:c r="C407" s="30" t="str">
        <x:v>P2</x:v>
      </x:c>
      <x:c r="D407" s="30" t="str">
        <x:v>FUTURE_SCOPE</x:v>
      </x:c>
      <x:c r="E407" s="30" t="str">
        <x:v>T-FWP01</x:v>
      </x:c>
      <x:c r="F407" s="30" t="str">
        <x:v>Thắng</x:v>
      </x:c>
      <x:c r="G407" s="30" t="str">
        <x:v>Giới hạn phạm vi trả lời, từ chối câu hỏi ngoài lĩnh vực</x:v>
      </x:c>
      <x:c r="H407" s="30" t="str">
        <x:v>`R10-05`</x:v>
      </x:c>
      <x:c r="I407" s="30" t="str">
        <x:v>Kiên</x:v>
      </x:c>
      <x:c r="J407" s="30" t="str">
        <x:v>☐</x:v>
      </x:c>
      <x:c r="K407" s="30" t="str">
        <x:v>Chưa bắt đầu</x:v>
      </x:c>
      <x:c r="L407" s="40" t="n">
        <x:f>IF(J407="☑",1,IF(K407="Done",1,IF(K407="Đang làm",0.5,IF(K407="Blocked",0.25,0))))</x:f>
        <x:v>0</x:v>
      </x:c>
      <x:c r="M407" s="30" t="str"/>
      <x:c r="N407" s="30" t="str"/>
    </x:row>
    <x:row r="408">
      <x:c r="A408" s="30" t="str">
        <x:v>FUTURE</x:v>
      </x:c>
      <x:c r="B408" s="30" t="str">
        <x:v>FUTURE-F018</x:v>
      </x:c>
      <x:c r="C408" s="30" t="str">
        <x:v>P2</x:v>
      </x:c>
      <x:c r="D408" s="30" t="str">
        <x:v>FUTURE_SCOPE</x:v>
      </x:c>
      <x:c r="E408" s="30" t="str">
        <x:v>T-FWP01</x:v>
      </x:c>
      <x:c r="F408" s="30" t="str">
        <x:v>Thắng</x:v>
      </x:c>
      <x:c r="G408" s="30" t="str">
        <x:v>Ghi nhận câu hỏi thường gặp để bổ sung vào thư viện</x:v>
      </x:c>
      <x:c r="H408" s="30" t="str">
        <x:v>`R10-06`</x:v>
      </x:c>
      <x:c r="I408" s="30" t="str">
        <x:v>Kiên</x:v>
      </x:c>
      <x:c r="J408" s="30" t="str">
        <x:v>☐</x:v>
      </x:c>
      <x:c r="K408" s="30" t="str">
        <x:v>Chưa bắt đầu</x:v>
      </x:c>
      <x:c r="L408" s="40" t="n">
        <x:f>IF(J408="☑",1,IF(K408="Done",1,IF(K408="Đang làm",0.5,IF(K408="Blocked",0.25,0))))</x:f>
        <x:v>0</x:v>
      </x:c>
      <x:c r="M408" s="30" t="str"/>
      <x:c r="N408" s="30" t="str"/>
    </x:row>
    <x:row r="409">
      <x:c r="A409" s="30" t="str">
        <x:v>FUTURE</x:v>
      </x:c>
      <x:c r="B409" s="30" t="str">
        <x:v>FUTURE-F019</x:v>
      </x:c>
      <x:c r="C409" s="30" t="str">
        <x:v>P2</x:v>
      </x:c>
      <x:c r="D409" s="30" t="str">
        <x:v>FUTURE_SCOPE</x:v>
      </x:c>
      <x:c r="E409" s="30" t="str">
        <x:v>T-FWP02</x:v>
      </x:c>
      <x:c r="F409" s="30" t="str">
        <x:v>Thắng</x:v>
      </x:c>
      <x:c r="G409" s="30" t="str">
        <x:v>Bài trắc nghiệm "Bạn có nhận ra tin nhắn lừa đảo không?"</x:v>
      </x:c>
      <x:c r="H409" s="30" t="str">
        <x:v>`R11-01`</x:v>
      </x:c>
      <x:c r="I409" s="30" t="str">
        <x:v>Kiên</x:v>
      </x:c>
      <x:c r="J409" s="30" t="str">
        <x:v>☐</x:v>
      </x:c>
      <x:c r="K409" s="30" t="str">
        <x:v>Chưa bắt đầu</x:v>
      </x:c>
      <x:c r="L409" s="40" t="n">
        <x:f>IF(J409="☑",1,IF(K409="Done",1,IF(K409="Đang làm",0.5,IF(K409="Blocked",0.25,0))))</x:f>
        <x:v>0</x:v>
      </x:c>
      <x:c r="M409" s="30" t="str"/>
      <x:c r="N409" s="30" t="str"/>
    </x:row>
    <x:row r="410">
      <x:c r="A410" s="30" t="str">
        <x:v>FUTURE</x:v>
      </x:c>
      <x:c r="B410" s="30" t="str">
        <x:v>FUTURE-F020</x:v>
      </x:c>
      <x:c r="C410" s="30" t="str">
        <x:v>P2</x:v>
      </x:c>
      <x:c r="D410" s="30" t="str">
        <x:v>FUTURE_SCOPE</x:v>
      </x:c>
      <x:c r="E410" s="30" t="str">
        <x:v>T-FWP02</x:v>
      </x:c>
      <x:c r="F410" s="30" t="str">
        <x:v>Thắng</x:v>
      </x:c>
      <x:c r="G410" s="30" t="str">
        <x:v>Chấm điểm và giải thích từng câu sai</x:v>
      </x:c>
      <x:c r="H410" s="30" t="str">
        <x:v>`R11-02`</x:v>
      </x:c>
      <x:c r="I410" s="30" t="str">
        <x:v>Kiên</x:v>
      </x:c>
      <x:c r="J410" s="30" t="str">
        <x:v>☐</x:v>
      </x:c>
      <x:c r="K410" s="30" t="str">
        <x:v>Chưa bắt đầu</x:v>
      </x:c>
      <x:c r="L410" s="40" t="n">
        <x:f>IF(J410="☑",1,IF(K410="Done",1,IF(K410="Đang làm",0.5,IF(K410="Blocked",0.25,0))))</x:f>
        <x:v>0</x:v>
      </x:c>
      <x:c r="M410" s="30" t="str"/>
      <x:c r="N410" s="30" t="str"/>
    </x:row>
    <x:row r="411">
      <x:c r="A411" s="30" t="str">
        <x:v>FUTURE</x:v>
      </x:c>
      <x:c r="B411" s="30" t="str">
        <x:v>FUTURE-F021</x:v>
      </x:c>
      <x:c r="C411" s="30" t="str">
        <x:v>P2</x:v>
      </x:c>
      <x:c r="D411" s="30" t="str">
        <x:v>FUTURE_SCOPE</x:v>
      </x:c>
      <x:c r="E411" s="30" t="str">
        <x:v>H-FWP02</x:v>
      </x:c>
      <x:c r="F411" s="30" t="str">
        <x:v>Hùng</x:v>
      </x:c>
      <x:c r="G411" s="30" t="str">
        <x:v>Huy hiệu theo mốc: số lần quét, số báo cáo được duyệt</x:v>
      </x:c>
      <x:c r="H411" s="30" t="str">
        <x:v>`R11-03`</x:v>
      </x:c>
      <x:c r="I411" s="30" t="str">
        <x:v>Kiên</x:v>
      </x:c>
      <x:c r="J411" s="30" t="str">
        <x:v>☐</x:v>
      </x:c>
      <x:c r="K411" s="30" t="str">
        <x:v>Chưa bắt đầu</x:v>
      </x:c>
      <x:c r="L411" s="40" t="n">
        <x:f>IF(J411="☑",1,IF(K411="Done",1,IF(K411="Đang làm",0.5,IF(K411="Blocked",0.25,0))))</x:f>
        <x:v>0</x:v>
      </x:c>
      <x:c r="M411" s="30" t="str"/>
      <x:c r="N411" s="30" t="str"/>
    </x:row>
    <x:row r="412">
      <x:c r="A412" s="30" t="str">
        <x:v>FUTURE</x:v>
      </x:c>
      <x:c r="B412" s="30" t="str">
        <x:v>FUTURE-F022</x:v>
      </x:c>
      <x:c r="C412" s="30" t="str">
        <x:v>P2</x:v>
      </x:c>
      <x:c r="D412" s="30" t="str">
        <x:v>FUTURE_SCOPE</x:v>
      </x:c>
      <x:c r="E412" s="30" t="str">
        <x:v>H-FWP02</x:v>
      </x:c>
      <x:c r="F412" s="30" t="str">
        <x:v>Hùng</x:v>
      </x:c>
      <x:c r="G412" s="30" t="str">
        <x:v>Bảng xếp hạng đóng góp cộng đồng</x:v>
      </x:c>
      <x:c r="H412" s="30" t="str">
        <x:v>`R11-04`</x:v>
      </x:c>
      <x:c r="I412" s="30" t="str">
        <x:v>Kiên</x:v>
      </x:c>
      <x:c r="J412" s="30" t="str">
        <x:v>☐</x:v>
      </x:c>
      <x:c r="K412" s="30" t="str">
        <x:v>Chưa bắt đầu</x:v>
      </x:c>
      <x:c r="L412" s="40" t="n">
        <x:f>IF(J412="☑",1,IF(K412="Done",1,IF(K412="Đang làm",0.5,IF(K412="Blocked",0.25,0))))</x:f>
        <x:v>0</x:v>
      </x:c>
      <x:c r="M412" s="30" t="str"/>
      <x:c r="N412" s="30" t="str"/>
    </x:row>
    <x:row r="413">
      <x:c r="A413" s="30" t="str">
        <x:v>FUTURE</x:v>
      </x:c>
      <x:c r="B413" s="30" t="str">
        <x:v>FUTURE-F023</x:v>
      </x:c>
      <x:c r="C413" s="30" t="str">
        <x:v>P2</x:v>
      </x:c>
      <x:c r="D413" s="30" t="str">
        <x:v>FUTURE_SCOPE</x:v>
      </x:c>
      <x:c r="E413" s="30" t="str">
        <x:v>H-FWP02</x:v>
      </x:c>
      <x:c r="F413" s="30" t="str">
        <x:v>Hùng</x:v>
      </x:c>
      <x:c r="G413" s="30" t="str">
        <x:v>Chuỗi ngày sử dụng liên tục</x:v>
      </x:c>
      <x:c r="H413" s="30" t="str">
        <x:v>`R11-05`</x:v>
      </x:c>
      <x:c r="I413" s="30" t="str">
        <x:v>Kiên</x:v>
      </x:c>
      <x:c r="J413" s="30" t="str">
        <x:v>☐</x:v>
      </x:c>
      <x:c r="K413" s="30" t="str">
        <x:v>Chưa bắt đầu</x:v>
      </x:c>
      <x:c r="L413" s="40" t="n">
        <x:f>IF(J413="☑",1,IF(K413="Done",1,IF(K413="Đang làm",0.5,IF(K413="Blocked",0.25,0))))</x:f>
        <x:v>0</x:v>
      </x:c>
      <x:c r="M413" s="30" t="str"/>
      <x:c r="N413" s="30" t="str"/>
    </x:row>
    <x:row r="414">
      <x:c r="A414" s="30" t="str">
        <x:v>FUTURE</x:v>
      </x:c>
      <x:c r="B414" s="30" t="str">
        <x:v>FUTURE-F024</x:v>
      </x:c>
      <x:c r="C414" s="30" t="str">
        <x:v>P2</x:v>
      </x:c>
      <x:c r="D414" s="30" t="str">
        <x:v>FUTURE_SCOPE</x:v>
      </x:c>
      <x:c r="E414" s="30" t="str">
        <x:v>K-FWP03</x:v>
      </x:c>
      <x:c r="F414" s="30" t="str">
        <x:v>Khải</x:v>
      </x:c>
      <x:c r="G414" s="30" t="str">
        <x:v>Chia sẻ kết quả bài kiểm tra lên mạng xã hội</x:v>
      </x:c>
      <x:c r="H414" s="30" t="str">
        <x:v>`R11-06`</x:v>
      </x:c>
      <x:c r="I414" s="30" t="str">
        <x:v>Kiên</x:v>
      </x:c>
      <x:c r="J414" s="30" t="str">
        <x:v>☐</x:v>
      </x:c>
      <x:c r="K414" s="30" t="str">
        <x:v>Chưa bắt đầu</x:v>
      </x:c>
      <x:c r="L414" s="40" t="n">
        <x:f>IF(J414="☑",1,IF(K414="Done",1,IF(K414="Đang làm",0.5,IF(K414="Blocked",0.25,0))))</x:f>
        <x:v>0</x:v>
      </x:c>
      <x:c r="M414" s="30" t="str"/>
      <x:c r="N414" s="30" t="str"/>
    </x:row>
    <x:row r="415">
      <x:c r="A415" s="30" t="str">
        <x:v>FUTURE</x:v>
      </x:c>
      <x:c r="B415" s="30" t="str">
        <x:v>FUTURE-F025</x:v>
      </x:c>
      <x:c r="C415" s="30" t="str">
        <x:v>P2</x:v>
      </x:c>
      <x:c r="D415" s="30" t="str">
        <x:v>FUTURE_SCOPE</x:v>
      </x:c>
      <x:c r="E415" s="30" t="str">
        <x:v>H-FWP01</x:v>
      </x:c>
      <x:c r="F415" s="30" t="str">
        <x:v>Hùng</x:v>
      </x:c>
      <x:c r="G415" s="30" t="str">
        <x:v>Entitlement profiles định nghĩa quota/featureFlags/historyPolicy/inferenceProfile cho các plan tương lai; M12 chỉ nhận resolved `EntitlementContext`.</x:v>
      </x:c>
      <x:c r="H415" s="30" t="str">
        <x:v>`MODSPEC-V1.3-FUTURE`</x:v>
      </x:c>
      <x:c r="I415" s="30" t="str">
        <x:v>—</x:v>
      </x:c>
      <x:c r="J415" s="30" t="str">
        <x:v>☐</x:v>
      </x:c>
      <x:c r="K415" s="30" t="str">
        <x:v>Chưa bắt đầu</x:v>
      </x:c>
      <x:c r="L415" s="40" t="n">
        <x:f>IF(J415="☑",1,IF(K415="Done",1,IF(K415="Đang làm",0.5,IF(K415="Blocked",0.25,0))))</x:f>
        <x:v>0</x:v>
      </x:c>
      <x:c r="M415" s="30" t="str"/>
      <x:c r="N415" s="30" t="str"/>
    </x:row>
    <x:row r="416">
      <x:c r="A416" s="30" t="str">
        <x:v>FUTURE</x:v>
      </x:c>
      <x:c r="B416" s="30" t="str">
        <x:v>FUTURE-F026</x:v>
      </x:c>
      <x:c r="C416" s="30" t="str">
        <x:v>P2</x:v>
      </x:c>
      <x:c r="D416" s="30" t="str">
        <x:v>FUTURE_SCOPE</x:v>
      </x:c>
      <x:c r="E416" s="30" t="str">
        <x:v>H-FWP01</x:v>
      </x:c>
      <x:c r="F416" s="30" t="str">
        <x:v>Hùng</x:v>
      </x:c>
      <x:c r="G416" s="30" t="str">
        <x:v>Plans catalog cho Free/Premium/API tiers hoặc gói tương lai; không hard-code plan trong scan/worker contract.</x:v>
      </x:c>
      <x:c r="H416" s="30" t="str">
        <x:v>`SCHEMA-V1.0-FUTURE`</x:v>
      </x:c>
      <x:c r="I416" s="30" t="str">
        <x:v>—</x:v>
      </x:c>
      <x:c r="J416" s="30" t="str">
        <x:v>☐</x:v>
      </x:c>
      <x:c r="K416" s="30" t="str">
        <x:v>Chưa bắt đầu</x:v>
      </x:c>
      <x:c r="L416" s="40" t="n">
        <x:f>IF(J416="☑",1,IF(K416="Done",1,IF(K416="Đang làm",0.5,IF(K416="Blocked",0.25,0))))</x:f>
        <x:v>0</x:v>
      </x:c>
      <x:c r="M416" s="30" t="str"/>
      <x:c r="N416" s="30" t="str"/>
    </x:row>
    <x:row r="417">
      <x:c r="A417" s="30" t="str">
        <x:v>FUTURE</x:v>
      </x:c>
      <x:c r="B417" s="30" t="str">
        <x:v>FUTURE-F027</x:v>
      </x:c>
      <x:c r="C417" s="30" t="str">
        <x:v>P2</x:v>
      </x:c>
      <x:c r="D417" s="30" t="str">
        <x:v>FUTURE_SCOPE</x:v>
      </x:c>
      <x:c r="E417" s="30" t="str">
        <x:v>H-FWP01</x:v>
      </x:c>
      <x:c r="F417" s="30" t="str">
        <x:v>Hùng</x:v>
      </x:c>
      <x:c r="G417" s="30" t="str">
        <x:v>Account-plan assignment có hiệu lực theo thời gian và audit thay đổi entitlement.</x:v>
      </x:c>
      <x:c r="H417" s="30" t="str">
        <x:v>`SCHEMA-V1.0-FUTURE`</x:v>
      </x:c>
      <x:c r="I417" s="30" t="str">
        <x:v>—</x:v>
      </x:c>
      <x:c r="J417" s="30" t="str">
        <x:v>☐</x:v>
      </x:c>
      <x:c r="K417" s="30" t="str">
        <x:v>Chưa bắt đầu</x:v>
      </x:c>
      <x:c r="L417" s="40" t="n">
        <x:f>IF(J417="☑",1,IF(K417="Done",1,IF(K417="Đang làm",0.5,IF(K417="Blocked",0.25,0))))</x:f>
        <x:v>0</x:v>
      </x:c>
      <x:c r="M417" s="30" t="str"/>
      <x:c r="N417" s="30" t="str"/>
    </x:row>
    <x:row r="418">
      <x:c r="A418" s="30" t="str">
        <x:v>FUTURE</x:v>
      </x:c>
      <x:c r="B418" s="30" t="str">
        <x:v>FUTURE-F028</x:v>
      </x:c>
      <x:c r="C418" s="30" t="str">
        <x:v>P2</x:v>
      </x:c>
      <x:c r="D418" s="30" t="str">
        <x:v>FUTURE_SCOPE</x:v>
      </x:c>
      <x:c r="E418" s="30" t="str">
        <x:v>H-FWP01</x:v>
      </x:c>
      <x:c r="F418" s="30" t="str">
        <x:v>Hùng</x:v>
      </x:c>
      <x:c r="G418" s="30" t="str">
        <x:v>Subscription lifecycle độc lập với Identity/Scan; trạng thái subscription không đi trực tiếp vào worker message.</x:v>
      </x:c>
      <x:c r="H418" s="30" t="str">
        <x:v>`SCHEMA-V1.0-FUTURE`</x:v>
      </x:c>
      <x:c r="I418" s="30" t="str">
        <x:v>—</x:v>
      </x:c>
      <x:c r="J418" s="30" t="str">
        <x:v>☐</x:v>
      </x:c>
      <x:c r="K418" s="30" t="str">
        <x:v>Chưa bắt đầu</x:v>
      </x:c>
      <x:c r="L418" s="40" t="n">
        <x:f>IF(J418="☑",1,IF(K418="Done",1,IF(K418="Đang làm",0.5,IF(K418="Blocked",0.25,0))))</x:f>
        <x:v>0</x:v>
      </x:c>
      <x:c r="M418" s="30" t="str"/>
      <x:c r="N418" s="30" t="str"/>
    </x:row>
    <x:row r="419">
      <x:c r="A419" s="30" t="str">
        <x:v>FUTURE</x:v>
      </x:c>
      <x:c r="B419" s="30" t="str">
        <x:v>FUTURE-F029</x:v>
      </x:c>
      <x:c r="C419" s="30" t="str">
        <x:v>P2</x:v>
      </x:c>
      <x:c r="D419" s="30" t="str">
        <x:v>FUTURE_SCOPE</x:v>
      </x:c>
      <x:c r="E419" s="30" t="str">
        <x:v>K-FWP02</x:v>
      </x:c>
      <x:c r="F419" s="30" t="str">
        <x:v>Khải</x:v>
      </x:c>
      <x:c r="G419" s="30" t="str">
        <x:v>Usage metering theo account/API identity và loại execution; ghi `usage_records` để phục vụ quota/billing sau này.</x:v>
      </x:c>
      <x:c r="H419" s="30" t="str">
        <x:v>`SCHEMA-V1.0-FUTURE`</x:v>
      </x:c>
      <x:c r="I419" s="30" t="str">
        <x:v>—</x:v>
      </x:c>
      <x:c r="J419" s="30" t="str">
        <x:v>☐</x:v>
      </x:c>
      <x:c r="K419" s="30" t="str">
        <x:v>Chưa bắt đầu</x:v>
      </x:c>
      <x:c r="L419" s="40" t="n">
        <x:f>IF(J419="☑",1,IF(K419="Done",1,IF(K419="Đang làm",0.5,IF(K419="Blocked",0.25,0))))</x:f>
        <x:v>0</x:v>
      </x:c>
      <x:c r="M419" s="30" t="str"/>
      <x:c r="N419" s="30" t="str"/>
    </x:row>
    <x:row r="420">
      <x:c r="A420" s="30" t="str">
        <x:v>FUTURE</x:v>
      </x:c>
      <x:c r="B420" s="30" t="str">
        <x:v>FUTURE-F030</x:v>
      </x:c>
      <x:c r="C420" s="30" t="str">
        <x:v>P2</x:v>
      </x:c>
      <x:c r="D420" s="30" t="str">
        <x:v>FUTURE_SCOPE</x:v>
      </x:c>
      <x:c r="E420" s="30" t="str">
        <x:v>K-FWP02</x:v>
      </x:c>
      <x:c r="F420" s="30" t="str">
        <x:v>Khải</x:v>
      </x:c>
      <x:c r="G420" s="30" t="str">
        <x:v>Credit account cho user/API client; số dư được suy ra từ ledger, không lưu `credit_balance` trực tiếp trong `users`.</x:v>
      </x:c>
      <x:c r="H420" s="30" t="str">
        <x:v>`SCHEMA-V1.0-FUTURE`</x:v>
      </x:c>
      <x:c r="I420" s="30" t="str">
        <x:v>—</x:v>
      </x:c>
      <x:c r="J420" s="30" t="str">
        <x:v>☐</x:v>
      </x:c>
      <x:c r="K420" s="30" t="str">
        <x:v>Chưa bắt đầu</x:v>
      </x:c>
      <x:c r="L420" s="40" t="n">
        <x:f>IF(J420="☑",1,IF(K420="Done",1,IF(K420="Đang làm",0.5,IF(K420="Blocked",0.25,0))))</x:f>
        <x:v>0</x:v>
      </x:c>
      <x:c r="M420" s="30" t="str"/>
      <x:c r="N420" s="30" t="str"/>
    </x:row>
    <x:row r="421">
      <x:c r="A421" s="30" t="str">
        <x:v>FUTURE</x:v>
      </x:c>
      <x:c r="B421" s="30" t="str">
        <x:v>FUTURE-F031</x:v>
      </x:c>
      <x:c r="C421" s="30" t="str">
        <x:v>P2</x:v>
      </x:c>
      <x:c r="D421" s="30" t="str">
        <x:v>FUTURE_SCOPE</x:v>
      </x:c>
      <x:c r="E421" s="30" t="str">
        <x:v>K-FWP02</x:v>
      </x:c>
      <x:c r="F421" s="30" t="str">
        <x:v>Khải</x:v>
      </x:c>
      <x:c r="G421" s="30" t="str">
        <x:v>Credit ledger entries trace đầy đủ debit/credit/adjustment và correlation tới usage/billing event.</x:v>
      </x:c>
      <x:c r="H421" s="30" t="str">
        <x:v>`SCHEMA-V1.0-FUTURE`</x:v>
      </x:c>
      <x:c r="I421" s="30" t="str">
        <x:v>—</x:v>
      </x:c>
      <x:c r="J421" s="30" t="str">
        <x:v>☐</x:v>
      </x:c>
      <x:c r="K421" s="30" t="str">
        <x:v>Chưa bắt đầu</x:v>
      </x:c>
      <x:c r="L421" s="40" t="n">
        <x:f>IF(J421="☑",1,IF(K421="Done",1,IF(K421="Đang làm",0.5,IF(K421="Blocked",0.25,0))))</x:f>
        <x:v>0</x:v>
      </x:c>
      <x:c r="M421" s="30" t="str"/>
      <x:c r="N421" s="30" t="str"/>
    </x:row>
    <x:row r="422">
      <x:c r="A422" s="30" t="str">
        <x:v>FUTURE</x:v>
      </x:c>
      <x:c r="B422" s="30" t="str">
        <x:v>FUTURE-F032</x:v>
      </x:c>
      <x:c r="C422" s="30" t="str">
        <x:v>P2</x:v>
      </x:c>
      <x:c r="D422" s="30" t="str">
        <x:v>FUTURE_SCOPE</x:v>
      </x:c>
      <x:c r="E422" s="30" t="str">
        <x:v>K-FWP02</x:v>
      </x:c>
      <x:c r="F422" s="30" t="str">
        <x:v>Khải</x:v>
      </x:c>
      <x:c r="G422" s="30" t="str">
        <x:v>Credit reservation/settlement/release cho tác vụ tốn tài nguyên trước khi execution, không làm thay đổi `RiskResult` contract.</x:v>
      </x:c>
      <x:c r="H422" s="30" t="str">
        <x:v>`SCHEMA-V1.0-FUTURE`</x:v>
      </x:c>
      <x:c r="I422" s="30" t="str">
        <x:v>—</x:v>
      </x:c>
      <x:c r="J422" s="30" t="str">
        <x:v>☐</x:v>
      </x:c>
      <x:c r="K422" s="30" t="str">
        <x:v>Chưa bắt đầu</x:v>
      </x:c>
      <x:c r="L422" s="40" t="n">
        <x:f>IF(J422="☑",1,IF(K422="Done",1,IF(K422="Đang làm",0.5,IF(K422="Blocked",0.25,0))))</x:f>
        <x:v>0</x:v>
      </x:c>
      <x:c r="M422" s="30" t="str"/>
      <x:c r="N422" s="30" t="str"/>
    </x:row>
    <x:row r="423">
      <x:c r="A423" s="30" t="str">
        <x:v>FUTURE</x:v>
      </x:c>
      <x:c r="B423" s="30" t="str">
        <x:v>FUTURE-F033</x:v>
      </x:c>
      <x:c r="C423" s="30" t="str">
        <x:v>P2</x:v>
      </x:c>
      <x:c r="D423" s="30" t="str">
        <x:v>FUTURE_SCOPE</x:v>
      </x:c>
      <x:c r="E423" s="30" t="str">
        <x:v>K-FWP02</x:v>
      </x:c>
      <x:c r="F423" s="30" t="str">
        <x:v>Khải</x:v>
      </x:c>
      <x:c r="G423" s="30" t="str">
        <x:v>User-facing API credentials/API client identity với key hash/revoke/rotate; downstream vẫn nhận `AccessContext`, không truyền raw API key tới worker.</x:v>
      </x:c>
      <x:c r="H423" s="30" t="str">
        <x:v>`SCHEMA-V1.0-FUTURE`</x:v>
      </x:c>
      <x:c r="I423" s="30" t="str">
        <x:v>—</x:v>
      </x:c>
      <x:c r="J423" s="30" t="str">
        <x:v>☐</x:v>
      </x:c>
      <x:c r="K423" s="30" t="str">
        <x:v>Chưa bắt đầu</x:v>
      </x:c>
      <x:c r="L423" s="40" t="n">
        <x:f>IF(J423="☑",1,IF(K423="Done",1,IF(K423="Đang làm",0.5,IF(K423="Blocked",0.25,0))))</x:f>
        <x:v>0</x:v>
      </x:c>
      <x:c r="M423" s="30" t="str"/>
      <x:c r="N423" s="30" t="str"/>
    </x:row>
  </x:sheetData>
  <x:conditionalFormatting sqref="A2:N423">
    <x:cfRule type="expression" dxfId="2" priority="1">
      <x:formula>$J2="☑"</x:formula>
    </x:cfRule>
  </x:conditionalFormatting>
  <x:conditionalFormatting sqref="K2:K423">
    <x:cfRule type="expression" dxfId="3" priority="2">
      <x:formula>$K2="Blocked"</x:formula>
    </x:cfRule>
  </x:conditionalFormatting>
  <x:conditionalFormatting sqref="L2:L423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{D1214075-0E81-C0A6-FFAF-BC7547D7CB42}</x14:id>
        </x:ext>
      </x:extLst>
    </x:cfRule>
  </x:conditionalFormatting>
  <x:dataValidations count="2">
    <x:dataValidation type="list" sqref="J2:J423">
      <x:formula1>"☐,☑"</x:formula1>
    </x:dataValidation>
    <x:dataValidation type="list" sqref="K2:K423">
      <x:formula1>"Chưa bắt đầu,Đang làm,Blocked,Done"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D1214075-0E81-C0A6-FFAF-BC7547D7CB42}">
            <x14:dataBar gradient="1">
              <x14:cfvo type="min"/>
              <x14:cfvo type="max"/>
              <x14:fillColor rgb="FFA02B93"/>
            </x14:dataBar>
          </x14:cfRule>
          <xm:sqref>L2:L423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4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9" hidden="0" customWidth="1"/>
    <x:col min="12" max="12" width="9" hidden="0" customWidth="1"/>
    <x:col min="13" max="13" width="9" hidden="0" customWidth="1"/>
  </x:cols>
  <x:sheetData>
    <x:row r="1">
      <x:c r="A1" s="39" t="str">
        <x:v>WP</x:v>
      </x:c>
      <x:c r="B1" s="39" t="str">
        <x:v>Owner</x:v>
      </x:c>
      <x:c r="C1" s="39" t="str">
        <x:v>Module</x:v>
      </x:c>
      <x:c r="D1" s="39" t="str">
        <x:v>Work Package</x:v>
      </x:c>
      <x:c r="E1" s="39" t="str">
        <x:v>Feature Count</x:v>
      </x:c>
      <x:c r="F1" s="39" t="str">
        <x:v>Done</x:v>
      </x:c>
      <x:c r="G1" s="39" t="str">
        <x:v>In Progress</x:v>
      </x:c>
      <x:c r="H1" s="39" t="str">
        <x:v>Blocked</x:v>
      </x:c>
      <x:c r="I1" s="39" t="str">
        <x:v>Completion %</x:v>
      </x:c>
      <x:c r="J1" s="39" t="str">
        <x:v>Weighted Progress %</x:v>
      </x:c>
      <x:c r="K1" s="39" t="str">
        <x:v>P0</x:v>
      </x:c>
      <x:c r="L1" s="39" t="str">
        <x:v>P1</x:v>
      </x:c>
      <x:c r="M1" s="39" t="str">
        <x:v>P2</x:v>
      </x:c>
    </x:row>
    <x:row r="2">
      <x:c r="A2" s="30" t="str">
        <x:v>H-WP01</x:v>
      </x:c>
      <x:c r="B2" s="30" t="str">
        <x:v>Hùng</x:v>
      </x:c>
      <x:c r="C2" s="30" t="str">
        <x:v>M01</x:v>
      </x:c>
      <x:c r="D2" s="30" t="str">
        <x:v>Local Registration &amp; Email Verification</x:v>
      </x:c>
      <x:c r="E2" s="30" t="n">
        <x:f>COUNTIF('Feature Progress'!$E$2:$E$423,A2)</x:f>
        <x:v>5</x:v>
      </x:c>
      <x:c r="F2" s="30" t="n">
        <x:f>COUNTIFS('Feature Progress'!$E$2:$E$423,A2,'Feature Progress'!$J$2:$J$423,"☑")</x:f>
        <x:v>0</x:v>
      </x:c>
      <x:c r="G2" s="30" t="n">
        <x:f>COUNTIFS('Feature Progress'!$E$2:$E$423,A2,'Feature Progress'!$K$2:$K$423,"Đang làm")</x:f>
        <x:v>0</x:v>
      </x:c>
      <x:c r="H2" s="30" t="n">
        <x:f>COUNTIFS('Feature Progress'!$E$2:$E$423,A2,'Feature Progress'!$K$2:$K$423,"Blocked")</x:f>
        <x:v>0</x:v>
      </x:c>
      <x:c r="I2" s="40" t="n">
        <x:f>IF(E2=0,0,F2/E2)</x:f>
        <x:v>0</x:v>
      </x:c>
      <x:c r="J2" s="40" t="n">
        <x:f>IF(E2=0,0,SUMIF('Feature Progress'!$E$2:$E$423,A2,'Feature Progress'!$L$2:$L$423)/E2)</x:f>
        <x:v>0</x:v>
      </x:c>
      <x:c r="K2" s="30" t="n">
        <x:v>4</x:v>
      </x:c>
      <x:c r="L2" s="30" t="n">
        <x:v>1</x:v>
      </x:c>
      <x:c r="M2" s="30" t="n">
        <x:v>0</x:v>
      </x:c>
    </x:row>
    <x:row r="3">
      <x:c r="A3" s="30" t="str">
        <x:v>H-WP02</x:v>
      </x:c>
      <x:c r="B3" s="30" t="str">
        <x:v>Hùng</x:v>
      </x:c>
      <x:c r="C3" s="30" t="str">
        <x:v>M01</x:v>
      </x:c>
      <x:c r="D3" s="30" t="str">
        <x:v>External Identity, Guest Access &amp; Account Linking</x:v>
      </x:c>
      <x:c r="E3" s="30" t="n">
        <x:f>COUNTIF('Feature Progress'!$E$2:$E$423,A3)</x:f>
        <x:v>4</x:v>
      </x:c>
      <x:c r="F3" s="30" t="n">
        <x:f>COUNTIFS('Feature Progress'!$E$2:$E$423,A3,'Feature Progress'!$J$2:$J$423,"☑")</x:f>
        <x:v>0</x:v>
      </x:c>
      <x:c r="G3" s="30" t="n">
        <x:f>COUNTIFS('Feature Progress'!$E$2:$E$423,A3,'Feature Progress'!$K$2:$K$423,"Đang làm")</x:f>
        <x:v>0</x:v>
      </x:c>
      <x:c r="H3" s="30" t="n">
        <x:f>COUNTIFS('Feature Progress'!$E$2:$E$423,A3,'Feature Progress'!$K$2:$K$423,"Blocked")</x:f>
        <x:v>0</x:v>
      </x:c>
      <x:c r="I3" s="40" t="n">
        <x:f>IF(E3=0,0,F3/E3)</x:f>
        <x:v>0</x:v>
      </x:c>
      <x:c r="J3" s="40" t="n">
        <x:f>IF(E3=0,0,SUMIF('Feature Progress'!$E$2:$E$423,A3,'Feature Progress'!$L$2:$L$423)/E3)</x:f>
        <x:v>0</x:v>
      </x:c>
      <x:c r="K3" s="30" t="n">
        <x:v>3</x:v>
      </x:c>
      <x:c r="L3" s="30" t="n">
        <x:v>1</x:v>
      </x:c>
      <x:c r="M3" s="30" t="n">
        <x:v>0</x:v>
      </x:c>
    </x:row>
    <x:row r="4">
      <x:c r="A4" s="30" t="str">
        <x:v>H-WP03</x:v>
      </x:c>
      <x:c r="B4" s="30" t="str">
        <x:v>Hùng</x:v>
      </x:c>
      <x:c r="C4" s="30" t="str">
        <x:v>M01</x:v>
      </x:c>
      <x:c r="D4" s="30" t="str">
        <x:v>Session &amp; Token Security</x:v>
      </x:c>
      <x:c r="E4" s="30" t="n">
        <x:f>COUNTIF('Feature Progress'!$E$2:$E$423,A4)</x:f>
        <x:v>8</x:v>
      </x:c>
      <x:c r="F4" s="30" t="n">
        <x:f>COUNTIFS('Feature Progress'!$E$2:$E$423,A4,'Feature Progress'!$J$2:$J$423,"☑")</x:f>
        <x:v>0</x:v>
      </x:c>
      <x:c r="G4" s="30" t="n">
        <x:f>COUNTIFS('Feature Progress'!$E$2:$E$423,A4,'Feature Progress'!$K$2:$K$423,"Đang làm")</x:f>
        <x:v>0</x:v>
      </x:c>
      <x:c r="H4" s="30" t="n">
        <x:f>COUNTIFS('Feature Progress'!$E$2:$E$423,A4,'Feature Progress'!$K$2:$K$423,"Blocked")</x:f>
        <x:v>0</x:v>
      </x:c>
      <x:c r="I4" s="40" t="n">
        <x:f>IF(E4=0,0,F4/E4)</x:f>
        <x:v>0</x:v>
      </x:c>
      <x:c r="J4" s="40" t="n">
        <x:f>IF(E4=0,0,SUMIF('Feature Progress'!$E$2:$E$423,A4,'Feature Progress'!$L$2:$L$423)/E4)</x:f>
        <x:v>0</x:v>
      </x:c>
      <x:c r="K4" s="30" t="n">
        <x:v>6</x:v>
      </x:c>
      <x:c r="L4" s="30" t="n">
        <x:v>2</x:v>
      </x:c>
      <x:c r="M4" s="30" t="n">
        <x:v>0</x:v>
      </x:c>
    </x:row>
    <x:row r="5">
      <x:c r="A5" s="30" t="str">
        <x:v>H-WP04</x:v>
      </x:c>
      <x:c r="B5" s="30" t="str">
        <x:v>Hùng</x:v>
      </x:c>
      <x:c r="C5" s="30" t="str">
        <x:v>M01</x:v>
      </x:c>
      <x:c r="D5" s="30" t="str">
        <x:v>Profile, Password Lifecycle &amp; Privacy</x:v>
      </x:c>
      <x:c r="E5" s="30" t="n">
        <x:f>COUNTIF('Feature Progress'!$E$2:$E$423,A5)</x:f>
        <x:v>7</x:v>
      </x:c>
      <x:c r="F5" s="30" t="n">
        <x:f>COUNTIFS('Feature Progress'!$E$2:$E$423,A5,'Feature Progress'!$J$2:$J$423,"☑")</x:f>
        <x:v>0</x:v>
      </x:c>
      <x:c r="G5" s="30" t="n">
        <x:f>COUNTIFS('Feature Progress'!$E$2:$E$423,A5,'Feature Progress'!$K$2:$K$423,"Đang làm")</x:f>
        <x:v>0</x:v>
      </x:c>
      <x:c r="H5" s="30" t="n">
        <x:f>COUNTIFS('Feature Progress'!$E$2:$E$423,A5,'Feature Progress'!$K$2:$K$423,"Blocked")</x:f>
        <x:v>0</x:v>
      </x:c>
      <x:c r="I5" s="40" t="n">
        <x:f>IF(E5=0,0,F5/E5)</x:f>
        <x:v>0</x:v>
      </x:c>
      <x:c r="J5" s="40" t="n">
        <x:f>IF(E5=0,0,SUMIF('Feature Progress'!$E$2:$E$423,A5,'Feature Progress'!$L$2:$L$423)/E5)</x:f>
        <x:v>0</x:v>
      </x:c>
      <x:c r="K5" s="30" t="n">
        <x:v>3</x:v>
      </x:c>
      <x:c r="L5" s="30" t="n">
        <x:v>3</x:v>
      </x:c>
      <x:c r="M5" s="30" t="n">
        <x:v>1</x:v>
      </x:c>
    </x:row>
    <x:row r="6">
      <x:c r="A6" s="30" t="str">
        <x:v>H-WP05</x:v>
      </x:c>
      <x:c r="B6" s="30" t="str">
        <x:v>Hùng</x:v>
      </x:c>
      <x:c r="C6" s="30" t="str">
        <x:v>M01</x:v>
      </x:c>
      <x:c r="D6" s="30" t="str">
        <x:v>RBAC &amp; User Administration</x:v>
      </x:c>
      <x:c r="E6" s="30" t="n">
        <x:f>COUNTIF('Feature Progress'!$E$2:$E$423,A6)</x:f>
        <x:v>7</x:v>
      </x:c>
      <x:c r="F6" s="30" t="n">
        <x:f>COUNTIFS('Feature Progress'!$E$2:$E$423,A6,'Feature Progress'!$J$2:$J$423,"☑")</x:f>
        <x:v>0</x:v>
      </x:c>
      <x:c r="G6" s="30" t="n">
        <x:f>COUNTIFS('Feature Progress'!$E$2:$E$423,A6,'Feature Progress'!$K$2:$K$423,"Đang làm")</x:f>
        <x:v>0</x:v>
      </x:c>
      <x:c r="H6" s="30" t="n">
        <x:f>COUNTIFS('Feature Progress'!$E$2:$E$423,A6,'Feature Progress'!$K$2:$K$423,"Blocked")</x:f>
        <x:v>0</x:v>
      </x:c>
      <x:c r="I6" s="40" t="n">
        <x:f>IF(E6=0,0,F6/E6)</x:f>
        <x:v>0</x:v>
      </x:c>
      <x:c r="J6" s="40" t="n">
        <x:f>IF(E6=0,0,SUMIF('Feature Progress'!$E$2:$E$423,A6,'Feature Progress'!$L$2:$L$423)/E6)</x:f>
        <x:v>0</x:v>
      </x:c>
      <x:c r="K6" s="30" t="n">
        <x:v>3</x:v>
      </x:c>
      <x:c r="L6" s="30" t="n">
        <x:v>3</x:v>
      </x:c>
      <x:c r="M6" s="30" t="n">
        <x:v>1</x:v>
      </x:c>
    </x:row>
    <x:row r="7">
      <x:c r="A7" s="30" t="str">
        <x:v>H-WP06</x:v>
      </x:c>
      <x:c r="B7" s="30" t="str">
        <x:v>Hùng</x:v>
      </x:c>
      <x:c r="C7" s="30" t="str">
        <x:v>M01</x:v>
      </x:c>
      <x:c r="D7" s="30" t="str">
        <x:v>Advanced Account Security</x:v>
      </x:c>
      <x:c r="E7" s="30" t="n">
        <x:f>COUNTIF('Feature Progress'!$E$2:$E$423,A7)</x:f>
        <x:v>6</x:v>
      </x:c>
      <x:c r="F7" s="30" t="n">
        <x:f>COUNTIFS('Feature Progress'!$E$2:$E$423,A7,'Feature Progress'!$J$2:$J$423,"☑")</x:f>
        <x:v>0</x:v>
      </x:c>
      <x:c r="G7" s="30" t="n">
        <x:f>COUNTIFS('Feature Progress'!$E$2:$E$423,A7,'Feature Progress'!$K$2:$K$423,"Đang làm")</x:f>
        <x:v>0</x:v>
      </x:c>
      <x:c r="H7" s="30" t="n">
        <x:f>COUNTIFS('Feature Progress'!$E$2:$E$423,A7,'Feature Progress'!$K$2:$K$423,"Blocked")</x:f>
        <x:v>0</x:v>
      </x:c>
      <x:c r="I7" s="40" t="n">
        <x:f>IF(E7=0,0,F7/E7)</x:f>
        <x:v>0</x:v>
      </x:c>
      <x:c r="J7" s="40" t="n">
        <x:f>IF(E7=0,0,SUMIF('Feature Progress'!$E$2:$E$423,A7,'Feature Progress'!$L$2:$L$423)/E7)</x:f>
        <x:v>0</x:v>
      </x:c>
      <x:c r="K7" s="30" t="n">
        <x:v>0</x:v>
      </x:c>
      <x:c r="L7" s="30" t="n">
        <x:v>3</x:v>
      </x:c>
      <x:c r="M7" s="30" t="n">
        <x:v>3</x:v>
      </x:c>
    </x:row>
    <x:row r="8">
      <x:c r="A8" s="30" t="str">
        <x:v>H-WP07</x:v>
      </x:c>
      <x:c r="B8" s="30" t="str">
        <x:v>Hùng</x:v>
      </x:c>
      <x:c r="C8" s="30" t="str">
        <x:v>M01</x:v>
      </x:c>
      <x:c r="D8" s="30" t="str">
        <x:v>Abuse Protection &amp; Account Quota</x:v>
      </x:c>
      <x:c r="E8" s="30" t="n">
        <x:f>COUNTIF('Feature Progress'!$E$2:$E$423,A8)</x:f>
        <x:v>4</x:v>
      </x:c>
      <x:c r="F8" s="30" t="n">
        <x:f>COUNTIFS('Feature Progress'!$E$2:$E$423,A8,'Feature Progress'!$J$2:$J$423,"☑")</x:f>
        <x:v>0</x:v>
      </x:c>
      <x:c r="G8" s="30" t="n">
        <x:f>COUNTIFS('Feature Progress'!$E$2:$E$423,A8,'Feature Progress'!$K$2:$K$423,"Đang làm")</x:f>
        <x:v>0</x:v>
      </x:c>
      <x:c r="H8" s="30" t="n">
        <x:f>COUNTIFS('Feature Progress'!$E$2:$E$423,A8,'Feature Progress'!$K$2:$K$423,"Blocked")</x:f>
        <x:v>0</x:v>
      </x:c>
      <x:c r="I8" s="40" t="n">
        <x:f>IF(E8=0,0,F8/E8)</x:f>
        <x:v>0</x:v>
      </x:c>
      <x:c r="J8" s="40" t="n">
        <x:f>IF(E8=0,0,SUMIF('Feature Progress'!$E$2:$E$423,A8,'Feature Progress'!$L$2:$L$423)/E8)</x:f>
        <x:v>0</x:v>
      </x:c>
      <x:c r="K8" s="30" t="n">
        <x:v>3</x:v>
      </x:c>
      <x:c r="L8" s="30" t="n">
        <x:v>0</x:v>
      </x:c>
      <x:c r="M8" s="30" t="n">
        <x:v>1</x:v>
      </x:c>
    </x:row>
    <x:row r="9">
      <x:c r="A9" s="30" t="str">
        <x:v>H-WP08</x:v>
      </x:c>
      <x:c r="B9" s="30" t="str">
        <x:v>Hùng</x:v>
      </x:c>
      <x:c r="C9" s="30" t="str">
        <x:v>M10</x:v>
      </x:c>
      <x:c r="D9" s="30" t="str">
        <x:v>Notification Center &amp; User Follow-up UX</x:v>
      </x:c>
      <x:c r="E9" s="30" t="n">
        <x:f>COUNTIF('Feature Progress'!$E$2:$E$423,A9)</x:f>
        <x:v>6</x:v>
      </x:c>
      <x:c r="F9" s="30" t="n">
        <x:f>COUNTIFS('Feature Progress'!$E$2:$E$423,A9,'Feature Progress'!$J$2:$J$423,"☑")</x:f>
        <x:v>0</x:v>
      </x:c>
      <x:c r="G9" s="30" t="n">
        <x:f>COUNTIFS('Feature Progress'!$E$2:$E$423,A9,'Feature Progress'!$K$2:$K$423,"Đang làm")</x:f>
        <x:v>0</x:v>
      </x:c>
      <x:c r="H9" s="30" t="n">
        <x:f>COUNTIFS('Feature Progress'!$E$2:$E$423,A9,'Feature Progress'!$K$2:$K$423,"Blocked")</x:f>
        <x:v>0</x:v>
      </x:c>
      <x:c r="I9" s="40" t="n">
        <x:f>IF(E9=0,0,F9/E9)</x:f>
        <x:v>0</x:v>
      </x:c>
      <x:c r="J9" s="40" t="n">
        <x:f>IF(E9=0,0,SUMIF('Feature Progress'!$E$2:$E$423,A9,'Feature Progress'!$L$2:$L$423)/E9)</x:f>
        <x:v>0</x:v>
      </x:c>
      <x:c r="K9" s="30" t="n">
        <x:v>0</x:v>
      </x:c>
      <x:c r="L9" s="30" t="n">
        <x:v>3</x:v>
      </x:c>
      <x:c r="M9" s="30" t="n">
        <x:v>3</x:v>
      </x:c>
    </x:row>
    <x:row r="10">
      <x:c r="A10" s="30" t="str">
        <x:v>H-WP09</x:v>
      </x:c>
      <x:c r="B10" s="30" t="str">
        <x:v>Hùng</x:v>
      </x:c>
      <x:c r="C10" s="30" t="str">
        <x:v>M10</x:v>
      </x:c>
      <x:c r="D10" s="30" t="str">
        <x:v>Notification Delivery Reliability</x:v>
      </x:c>
      <x:c r="E10" s="30" t="n">
        <x:f>COUNTIF('Feature Progress'!$E$2:$E$423,A10)</x:f>
        <x:v>3</x:v>
      </x:c>
      <x:c r="F10" s="30" t="n">
        <x:f>COUNTIFS('Feature Progress'!$E$2:$E$423,A10,'Feature Progress'!$J$2:$J$423,"☑")</x:f>
        <x:v>0</x:v>
      </x:c>
      <x:c r="G10" s="30" t="n">
        <x:f>COUNTIFS('Feature Progress'!$E$2:$E$423,A10,'Feature Progress'!$K$2:$K$423,"Đang làm")</x:f>
        <x:v>0</x:v>
      </x:c>
      <x:c r="H10" s="30" t="n">
        <x:f>COUNTIFS('Feature Progress'!$E$2:$E$423,A10,'Feature Progress'!$K$2:$K$423,"Blocked")</x:f>
        <x:v>0</x:v>
      </x:c>
      <x:c r="I10" s="40" t="n">
        <x:f>IF(E10=0,0,F10/E10)</x:f>
        <x:v>0</x:v>
      </x:c>
      <x:c r="J10" s="40" t="n">
        <x:f>IF(E10=0,0,SUMIF('Feature Progress'!$E$2:$E$423,A10,'Feature Progress'!$L$2:$L$423)/E10)</x:f>
        <x:v>0</x:v>
      </x:c>
      <x:c r="K10" s="30" t="n">
        <x:v>0</x:v>
      </x:c>
      <x:c r="L10" s="30" t="n">
        <x:v>3</x:v>
      </x:c>
      <x:c r="M10" s="30" t="n">
        <x:v>0</x:v>
      </x:c>
    </x:row>
    <x:row r="11">
      <x:c r="A11" s="30" t="str">
        <x:v>H-WP10</x:v>
      </x:c>
      <x:c r="B11" s="30" t="str">
        <x:v>Hùng</x:v>
      </x:c>
      <x:c r="C11" s="30" t="str">
        <x:v>M10</x:v>
      </x:c>
      <x:c r="D11" s="30" t="str">
        <x:v>Notification Contract, Routing &amp; Channel Abstraction</x:v>
      </x:c>
      <x:c r="E11" s="30" t="n">
        <x:f>COUNTIF('Feature Progress'!$E$2:$E$423,A11)</x:f>
        <x:v>4</x:v>
      </x:c>
      <x:c r="F11" s="30" t="n">
        <x:f>COUNTIFS('Feature Progress'!$E$2:$E$423,A11,'Feature Progress'!$J$2:$J$423,"☑")</x:f>
        <x:v>0</x:v>
      </x:c>
      <x:c r="G11" s="30" t="n">
        <x:f>COUNTIFS('Feature Progress'!$E$2:$E$423,A11,'Feature Progress'!$K$2:$K$423,"Đang làm")</x:f>
        <x:v>0</x:v>
      </x:c>
      <x:c r="H11" s="30" t="n">
        <x:f>COUNTIFS('Feature Progress'!$E$2:$E$423,A11,'Feature Progress'!$K$2:$K$423,"Blocked")</x:f>
        <x:v>0</x:v>
      </x:c>
      <x:c r="I11" s="40" t="n">
        <x:f>IF(E11=0,0,F11/E11)</x:f>
        <x:v>0</x:v>
      </x:c>
      <x:c r="J11" s="40" t="n">
        <x:f>IF(E11=0,0,SUMIF('Feature Progress'!$E$2:$E$423,A11,'Feature Progress'!$L$2:$L$423)/E11)</x:f>
        <x:v>0</x:v>
      </x:c>
      <x:c r="K11" s="30" t="n">
        <x:v>3</x:v>
      </x:c>
      <x:c r="L11" s="30" t="n">
        <x:v>1</x:v>
      </x:c>
      <x:c r="M11" s="30" t="n">
        <x:v>0</x:v>
      </x:c>
    </x:row>
    <x:row r="12">
      <x:c r="A12" s="30" t="str">
        <x:v>H-WP11</x:v>
      </x:c>
      <x:c r="B12" s="30" t="str">
        <x:v>Hùng</x:v>
      </x:c>
      <x:c r="C12" s="30" t="str">
        <x:v>M10</x:v>
      </x:c>
      <x:c r="D12" s="30" t="str">
        <x:v>Notification Endpoints, Preferences, Templates &amp; Secret Safety</x:v>
      </x:c>
      <x:c r="E12" s="30" t="n">
        <x:f>COUNTIF('Feature Progress'!$E$2:$E$423,A12)</x:f>
        <x:v>5</x:v>
      </x:c>
      <x:c r="F12" s="30" t="n">
        <x:f>COUNTIFS('Feature Progress'!$E$2:$E$423,A12,'Feature Progress'!$J$2:$J$423,"☑")</x:f>
        <x:v>0</x:v>
      </x:c>
      <x:c r="G12" s="30" t="n">
        <x:f>COUNTIFS('Feature Progress'!$E$2:$E$423,A12,'Feature Progress'!$K$2:$K$423,"Đang làm")</x:f>
        <x:v>0</x:v>
      </x:c>
      <x:c r="H12" s="30" t="n">
        <x:f>COUNTIFS('Feature Progress'!$E$2:$E$423,A12,'Feature Progress'!$K$2:$K$423,"Blocked")</x:f>
        <x:v>0</x:v>
      </x:c>
      <x:c r="I12" s="40" t="n">
        <x:f>IF(E12=0,0,F12/E12)</x:f>
        <x:v>0</x:v>
      </x:c>
      <x:c r="J12" s="40" t="n">
        <x:f>IF(E12=0,0,SUMIF('Feature Progress'!$E$2:$E$423,A12,'Feature Progress'!$L$2:$L$423)/E12)</x:f>
        <x:v>0</x:v>
      </x:c>
      <x:c r="K12" s="30" t="n">
        <x:v>1</x:v>
      </x:c>
      <x:c r="L12" s="30" t="n">
        <x:v>3</x:v>
      </x:c>
      <x:c r="M12" s="30" t="n">
        <x:v>1</x:v>
      </x:c>
    </x:row>
    <x:row r="13">
      <x:c r="A13" s="30" t="str">
        <x:v>H-WP12</x:v>
      </x:c>
      <x:c r="B13" s="30" t="str">
        <x:v>Hùng</x:v>
      </x:c>
      <x:c r="C13" s="30" t="str">
        <x:v>M07</x:v>
      </x:c>
      <x:c r="D13" s="30" t="str">
        <x:v>Community Report Submission &amp; Evidence</x:v>
      </x:c>
      <x:c r="E13" s="30" t="n">
        <x:f>COUNTIF('Feature Progress'!$E$2:$E$423,A13)</x:f>
        <x:v>8</x:v>
      </x:c>
      <x:c r="F13" s="30" t="n">
        <x:f>COUNTIFS('Feature Progress'!$E$2:$E$423,A13,'Feature Progress'!$J$2:$J$423,"☑")</x:f>
        <x:v>0</x:v>
      </x:c>
      <x:c r="G13" s="30" t="n">
        <x:f>COUNTIFS('Feature Progress'!$E$2:$E$423,A13,'Feature Progress'!$K$2:$K$423,"Đang làm")</x:f>
        <x:v>0</x:v>
      </x:c>
      <x:c r="H13" s="30" t="n">
        <x:f>COUNTIFS('Feature Progress'!$E$2:$E$423,A13,'Feature Progress'!$K$2:$K$423,"Blocked")</x:f>
        <x:v>0</x:v>
      </x:c>
      <x:c r="I13" s="40" t="n">
        <x:f>IF(E13=0,0,F13/E13)</x:f>
        <x:v>0</x:v>
      </x:c>
      <x:c r="J13" s="40" t="n">
        <x:f>IF(E13=0,0,SUMIF('Feature Progress'!$E$2:$E$423,A13,'Feature Progress'!$L$2:$L$423)/E13)</x:f>
        <x:v>0</x:v>
      </x:c>
      <x:c r="K13" s="30" t="n">
        <x:v>3</x:v>
      </x:c>
      <x:c r="L13" s="30" t="n">
        <x:v>3</x:v>
      </x:c>
      <x:c r="M13" s="30" t="n">
        <x:v>2</x:v>
      </x:c>
    </x:row>
    <x:row r="14">
      <x:c r="A14" s="30" t="str">
        <x:v>H-WP13</x:v>
      </x:c>
      <x:c r="B14" s="30" t="str">
        <x:v>Hùng</x:v>
      </x:c>
      <x:c r="C14" s="30" t="str">
        <x:v>M07</x:v>
      </x:c>
      <x:c r="D14" s="30" t="str">
        <x:v>Moderation Queue &amp; Review Workflow</x:v>
      </x:c>
      <x:c r="E14" s="30" t="n">
        <x:f>COUNTIF('Feature Progress'!$E$2:$E$423,A14)</x:f>
        <x:v>9</x:v>
      </x:c>
      <x:c r="F14" s="30" t="n">
        <x:f>COUNTIFS('Feature Progress'!$E$2:$E$423,A14,'Feature Progress'!$J$2:$J$423,"☑")</x:f>
        <x:v>0</x:v>
      </x:c>
      <x:c r="G14" s="30" t="n">
        <x:f>COUNTIFS('Feature Progress'!$E$2:$E$423,A14,'Feature Progress'!$K$2:$K$423,"Đang làm")</x:f>
        <x:v>0</x:v>
      </x:c>
      <x:c r="H14" s="30" t="n">
        <x:f>COUNTIFS('Feature Progress'!$E$2:$E$423,A14,'Feature Progress'!$K$2:$K$423,"Blocked")</x:f>
        <x:v>0</x:v>
      </x:c>
      <x:c r="I14" s="40" t="n">
        <x:f>IF(E14=0,0,F14/E14)</x:f>
        <x:v>0</x:v>
      </x:c>
      <x:c r="J14" s="40" t="n">
        <x:f>IF(E14=0,0,SUMIF('Feature Progress'!$E$2:$E$423,A14,'Feature Progress'!$L$2:$L$423)/E14)</x:f>
        <x:v>0</x:v>
      </x:c>
      <x:c r="K14" s="30" t="n">
        <x:v>4</x:v>
      </x:c>
      <x:c r="L14" s="30" t="n">
        <x:v>3</x:v>
      </x:c>
      <x:c r="M14" s="30" t="n">
        <x:v>2</x:v>
      </x:c>
    </x:row>
    <x:row r="15">
      <x:c r="A15" s="30" t="str">
        <x:v>H-WP14</x:v>
      </x:c>
      <x:c r="B15" s="30" t="str">
        <x:v>Hùng</x:v>
      </x:c>
      <x:c r="C15" s="30" t="str">
        <x:v>M07</x:v>
      </x:c>
      <x:c r="D15" s="30" t="str">
        <x:v>Reporter Reputation &amp; Abuse Controls</x:v>
      </x:c>
      <x:c r="E15" s="30" t="n">
        <x:f>COUNTIF('Feature Progress'!$E$2:$E$423,A15)</x:f>
        <x:v>7</x:v>
      </x:c>
      <x:c r="F15" s="30" t="n">
        <x:f>COUNTIFS('Feature Progress'!$E$2:$E$423,A15,'Feature Progress'!$J$2:$J$423,"☑")</x:f>
        <x:v>0</x:v>
      </x:c>
      <x:c r="G15" s="30" t="n">
        <x:f>COUNTIFS('Feature Progress'!$E$2:$E$423,A15,'Feature Progress'!$K$2:$K$423,"Đang làm")</x:f>
        <x:v>0</x:v>
      </x:c>
      <x:c r="H15" s="30" t="n">
        <x:f>COUNTIFS('Feature Progress'!$E$2:$E$423,A15,'Feature Progress'!$K$2:$K$423,"Blocked")</x:f>
        <x:v>0</x:v>
      </x:c>
      <x:c r="I15" s="40" t="n">
        <x:f>IF(E15=0,0,F15/E15)</x:f>
        <x:v>0</x:v>
      </x:c>
      <x:c r="J15" s="40" t="n">
        <x:f>IF(E15=0,0,SUMIF('Feature Progress'!$E$2:$E$423,A15,'Feature Progress'!$L$2:$L$423)/E15)</x:f>
        <x:v>0</x:v>
      </x:c>
      <x:c r="K15" s="30" t="n">
        <x:v>0</x:v>
      </x:c>
      <x:c r="L15" s="30" t="n">
        <x:v>3</x:v>
      </x:c>
      <x:c r="M15" s="30" t="n">
        <x:v>4</x:v>
      </x:c>
    </x:row>
    <x:row r="16">
      <x:c r="A16" s="30" t="str">
        <x:v>H-WP15</x:v>
      </x:c>
      <x:c r="B16" s="30" t="str">
        <x:v>Hùng</x:v>
      </x:c>
      <x:c r="C16" s="30" t="str">
        <x:v>M07</x:v>
      </x:c>
      <x:c r="D16" s="30" t="str">
        <x:v>Verified Report → Threat/Reputation Signal Bridge</x:v>
      </x:c>
      <x:c r="E16" s="30" t="n">
        <x:f>COUNTIF('Feature Progress'!$E$2:$E$423,A16)</x:f>
        <x:v>2</x:v>
      </x:c>
      <x:c r="F16" s="30" t="n">
        <x:f>COUNTIFS('Feature Progress'!$E$2:$E$423,A16,'Feature Progress'!$J$2:$J$423,"☑")</x:f>
        <x:v>0</x:v>
      </x:c>
      <x:c r="G16" s="30" t="n">
        <x:f>COUNTIFS('Feature Progress'!$E$2:$E$423,A16,'Feature Progress'!$K$2:$K$423,"Đang làm")</x:f>
        <x:v>0</x:v>
      </x:c>
      <x:c r="H16" s="30" t="n">
        <x:f>COUNTIFS('Feature Progress'!$E$2:$E$423,A16,'Feature Progress'!$K$2:$K$423,"Blocked")</x:f>
        <x:v>0</x:v>
      </x:c>
      <x:c r="I16" s="40" t="n">
        <x:f>IF(E16=0,0,F16/E16)</x:f>
        <x:v>0</x:v>
      </x:c>
      <x:c r="J16" s="40" t="n">
        <x:f>IF(E16=0,0,SUMIF('Feature Progress'!$E$2:$E$423,A16,'Feature Progress'!$L$2:$L$423)/E16)</x:f>
        <x:v>0</x:v>
      </x:c>
      <x:c r="K16" s="30" t="n">
        <x:v>2</x:v>
      </x:c>
      <x:c r="L16" s="30" t="n">
        <x:v>0</x:v>
      </x:c>
      <x:c r="M16" s="30" t="n">
        <x:v>0</x:v>
      </x:c>
    </x:row>
    <x:row r="17">
      <x:c r="A17" s="30" t="str">
        <x:v>H-WP16</x:v>
      </x:c>
      <x:c r="B17" s="30" t="str">
        <x:v>Hùng</x:v>
      </x:c>
      <x:c r="C17" s="30" t="str">
        <x:v>M14</x:v>
      </x:c>
      <x:c r="D17" s="30" t="str">
        <x:v>Security &amp; Business Audit Capture</x:v>
      </x:c>
      <x:c r="E17" s="30" t="n">
        <x:f>COUNTIF('Feature Progress'!$E$2:$E$423,A17)</x:f>
        <x:v>4</x:v>
      </x:c>
      <x:c r="F17" s="30" t="n">
        <x:f>COUNTIFS('Feature Progress'!$E$2:$E$423,A17,'Feature Progress'!$J$2:$J$423,"☑")</x:f>
        <x:v>0</x:v>
      </x:c>
      <x:c r="G17" s="30" t="n">
        <x:f>COUNTIFS('Feature Progress'!$E$2:$E$423,A17,'Feature Progress'!$K$2:$K$423,"Đang làm")</x:f>
        <x:v>0</x:v>
      </x:c>
      <x:c r="H17" s="30" t="n">
        <x:f>COUNTIFS('Feature Progress'!$E$2:$E$423,A17,'Feature Progress'!$K$2:$K$423,"Blocked")</x:f>
        <x:v>0</x:v>
      </x:c>
      <x:c r="I17" s="40" t="n">
        <x:f>IF(E17=0,0,F17/E17)</x:f>
        <x:v>0</x:v>
      </x:c>
      <x:c r="J17" s="40" t="n">
        <x:f>IF(E17=0,0,SUMIF('Feature Progress'!$E$2:$E$423,A17,'Feature Progress'!$L$2:$L$423)/E17)</x:f>
        <x:v>0</x:v>
      </x:c>
      <x:c r="K17" s="30" t="n">
        <x:v>4</x:v>
      </x:c>
      <x:c r="L17" s="30" t="n">
        <x:v>0</x:v>
      </x:c>
      <x:c r="M17" s="30" t="n">
        <x:v>0</x:v>
      </x:c>
    </x:row>
    <x:row r="18">
      <x:c r="A18" s="30" t="str">
        <x:v>H-WP17</x:v>
      </x:c>
      <x:c r="B18" s="30" t="str">
        <x:v>Hùng</x:v>
      </x:c>
      <x:c r="C18" s="30" t="str">
        <x:v>M14</x:v>
      </x:c>
      <x:c r="D18" s="30" t="str">
        <x:v>Cross-Pipeline Correlation &amp; Failure Trace</x:v>
      </x:c>
      <x:c r="E18" s="30" t="n">
        <x:f>COUNTIF('Feature Progress'!$E$2:$E$423,A18)</x:f>
        <x:v>2</x:v>
      </x:c>
      <x:c r="F18" s="30" t="n">
        <x:f>COUNTIFS('Feature Progress'!$E$2:$E$423,A18,'Feature Progress'!$J$2:$J$423,"☑")</x:f>
        <x:v>0</x:v>
      </x:c>
      <x:c r="G18" s="30" t="n">
        <x:f>COUNTIFS('Feature Progress'!$E$2:$E$423,A18,'Feature Progress'!$K$2:$K$423,"Đang làm")</x:f>
        <x:v>0</x:v>
      </x:c>
      <x:c r="H18" s="30" t="n">
        <x:f>COUNTIFS('Feature Progress'!$E$2:$E$423,A18,'Feature Progress'!$K$2:$K$423,"Blocked")</x:f>
        <x:v>0</x:v>
      </x:c>
      <x:c r="I18" s="40" t="n">
        <x:f>IF(E18=0,0,F18/E18)</x:f>
        <x:v>0</x:v>
      </x:c>
      <x:c r="J18" s="40" t="n">
        <x:f>IF(E18=0,0,SUMIF('Feature Progress'!$E$2:$E$423,A18,'Feature Progress'!$L$2:$L$423)/E18)</x:f>
        <x:v>0</x:v>
      </x:c>
      <x:c r="K18" s="30" t="n">
        <x:v>1</x:v>
      </x:c>
      <x:c r="L18" s="30" t="n">
        <x:v>1</x:v>
      </x:c>
      <x:c r="M18" s="30" t="n">
        <x:v>0</x:v>
      </x:c>
    </x:row>
    <x:row r="19">
      <x:c r="A19" s="30" t="str">
        <x:v>H-WP18</x:v>
      </x:c>
      <x:c r="B19" s="30" t="str">
        <x:v>Hùng</x:v>
      </x:c>
      <x:c r="C19" s="30" t="str">
        <x:v>M14</x:v>
      </x:c>
      <x:c r="D19" s="30" t="str">
        <x:v>Audit Query, Operations UI &amp; Investigation</x:v>
      </x:c>
      <x:c r="E19" s="30" t="n">
        <x:f>COUNTIF('Feature Progress'!$E$2:$E$423,A19)</x:f>
        <x:v>5</x:v>
      </x:c>
      <x:c r="F19" s="30" t="n">
        <x:f>COUNTIFS('Feature Progress'!$E$2:$E$423,A19,'Feature Progress'!$J$2:$J$423,"☑")</x:f>
        <x:v>0</x:v>
      </x:c>
      <x:c r="G19" s="30" t="n">
        <x:f>COUNTIFS('Feature Progress'!$E$2:$E$423,A19,'Feature Progress'!$K$2:$K$423,"Đang làm")</x:f>
        <x:v>0</x:v>
      </x:c>
      <x:c r="H19" s="30" t="n">
        <x:f>COUNTIFS('Feature Progress'!$E$2:$E$423,A19,'Feature Progress'!$K$2:$K$423,"Blocked")</x:f>
        <x:v>0</x:v>
      </x:c>
      <x:c r="I19" s="40" t="n">
        <x:f>IF(E19=0,0,F19/E19)</x:f>
        <x:v>0</x:v>
      </x:c>
      <x:c r="J19" s="40" t="n">
        <x:f>IF(E19=0,0,SUMIF('Feature Progress'!$E$2:$E$423,A19,'Feature Progress'!$L$2:$L$423)/E19)</x:f>
        <x:v>0</x:v>
      </x:c>
      <x:c r="K19" s="30" t="n">
        <x:v>0</x:v>
      </x:c>
      <x:c r="L19" s="30" t="n">
        <x:v>3</x:v>
      </x:c>
      <x:c r="M19" s="30" t="n">
        <x:v>2</x:v>
      </x:c>
    </x:row>
    <x:row r="20">
      <x:c r="A20" s="30" t="str">
        <x:v>K-WP01</x:v>
      </x:c>
      <x:c r="B20" s="30" t="str">
        <x:v>Khải</x:v>
      </x:c>
      <x:c r="C20" s="30" t="str">
        <x:v>M02</x:v>
      </x:c>
      <x:c r="D20" s="30" t="str">
        <x:v>URL Intake, Normalization, Cache &amp; Basic Signals</x:v>
      </x:c>
      <x:c r="E20" s="30" t="n">
        <x:f>COUNTIF('Feature Progress'!$E$2:$E$423,A20)</x:f>
        <x:v>8</x:v>
      </x:c>
      <x:c r="F20" s="30" t="n">
        <x:f>COUNTIFS('Feature Progress'!$E$2:$E$423,A20,'Feature Progress'!$J$2:$J$423,"☑")</x:f>
        <x:v>0</x:v>
      </x:c>
      <x:c r="G20" s="30" t="n">
        <x:f>COUNTIFS('Feature Progress'!$E$2:$E$423,A20,'Feature Progress'!$K$2:$K$423,"Đang làm")</x:f>
        <x:v>0</x:v>
      </x:c>
      <x:c r="H20" s="30" t="n">
        <x:f>COUNTIFS('Feature Progress'!$E$2:$E$423,A20,'Feature Progress'!$K$2:$K$423,"Blocked")</x:f>
        <x:v>0</x:v>
      </x:c>
      <x:c r="I20" s="40" t="n">
        <x:f>IF(E20=0,0,F20/E20)</x:f>
        <x:v>0</x:v>
      </x:c>
      <x:c r="J20" s="40" t="n">
        <x:f>IF(E20=0,0,SUMIF('Feature Progress'!$E$2:$E$423,A20,'Feature Progress'!$L$2:$L$423)/E20)</x:f>
        <x:v>0</x:v>
      </x:c>
      <x:c r="K20" s="30" t="n">
        <x:v>5</x:v>
      </x:c>
      <x:c r="L20" s="30" t="n">
        <x:v>2</x:v>
      </x:c>
      <x:c r="M20" s="30" t="n">
        <x:v>1</x:v>
      </x:c>
    </x:row>
    <x:row r="21">
      <x:c r="A21" s="30" t="str">
        <x:v>K-WP02</x:v>
      </x:c>
      <x:c r="B21" s="30" t="str">
        <x:v>Khải</x:v>
      </x:c>
      <x:c r="C21" s="30" t="str">
        <x:v>M02</x:v>
      </x:c>
      <x:c r="D21" s="30" t="str">
        <x:v>Safe Fetch &amp; SSRF Guard</x:v>
      </x:c>
      <x:c r="E21" s="30" t="n">
        <x:f>COUNTIF('Feature Progress'!$E$2:$E$423,A21)</x:f>
        <x:v>8</x:v>
      </x:c>
      <x:c r="F21" s="30" t="n">
        <x:f>COUNTIFS('Feature Progress'!$E$2:$E$423,A21,'Feature Progress'!$J$2:$J$423,"☑")</x:f>
        <x:v>0</x:v>
      </x:c>
      <x:c r="G21" s="30" t="n">
        <x:f>COUNTIFS('Feature Progress'!$E$2:$E$423,A21,'Feature Progress'!$K$2:$K$423,"Đang làm")</x:f>
        <x:v>0</x:v>
      </x:c>
      <x:c r="H21" s="30" t="n">
        <x:f>COUNTIFS('Feature Progress'!$E$2:$E$423,A21,'Feature Progress'!$K$2:$K$423,"Blocked")</x:f>
        <x:v>0</x:v>
      </x:c>
      <x:c r="I21" s="40" t="n">
        <x:f>IF(E21=0,0,F21/E21)</x:f>
        <x:v>0</x:v>
      </x:c>
      <x:c r="J21" s="40" t="n">
        <x:f>IF(E21=0,0,SUMIF('Feature Progress'!$E$2:$E$423,A21,'Feature Progress'!$L$2:$L$423)/E21)</x:f>
        <x:v>0</x:v>
      </x:c>
      <x:c r="K21" s="30" t="n">
        <x:v>5</x:v>
      </x:c>
      <x:c r="L21" s="30" t="n">
        <x:v>2</x:v>
      </x:c>
      <x:c r="M21" s="30" t="n">
        <x:v>1</x:v>
      </x:c>
    </x:row>
    <x:row r="22">
      <x:c r="A22" s="30" t="str">
        <x:v>K-WP03</x:v>
      </x:c>
      <x:c r="B22" s="30" t="str">
        <x:v>Khải</x:v>
      </x:c>
      <x:c r="C22" s="30" t="str">
        <x:v>M02</x:v>
      </x:c>
      <x:c r="D22" s="30" t="str">
        <x:v>Redirect Chain Analysis</x:v>
      </x:c>
      <x:c r="E22" s="30" t="n">
        <x:f>COUNTIF('Feature Progress'!$E$2:$E$423,A22)</x:f>
        <x:v>7</x:v>
      </x:c>
      <x:c r="F22" s="30" t="n">
        <x:f>COUNTIFS('Feature Progress'!$E$2:$E$423,A22,'Feature Progress'!$J$2:$J$423,"☑")</x:f>
        <x:v>0</x:v>
      </x:c>
      <x:c r="G22" s="30" t="n">
        <x:f>COUNTIFS('Feature Progress'!$E$2:$E$423,A22,'Feature Progress'!$K$2:$K$423,"Đang làm")</x:f>
        <x:v>0</x:v>
      </x:c>
      <x:c r="H22" s="30" t="n">
        <x:f>COUNTIFS('Feature Progress'!$E$2:$E$423,A22,'Feature Progress'!$K$2:$K$423,"Blocked")</x:f>
        <x:v>0</x:v>
      </x:c>
      <x:c r="I22" s="40" t="n">
        <x:f>IF(E22=0,0,F22/E22)</x:f>
        <x:v>0</x:v>
      </x:c>
      <x:c r="J22" s="40" t="n">
        <x:f>IF(E22=0,0,SUMIF('Feature Progress'!$E$2:$E$423,A22,'Feature Progress'!$L$2:$L$423)/E22)</x:f>
        <x:v>0</x:v>
      </x:c>
      <x:c r="K22" s="30" t="n">
        <x:v>2</x:v>
      </x:c>
      <x:c r="L22" s="30" t="n">
        <x:v>3</x:v>
      </x:c>
      <x:c r="M22" s="30" t="n">
        <x:v>2</x:v>
      </x:c>
    </x:row>
    <x:row r="23">
      <x:c r="A23" s="30" t="str">
        <x:v>K-WP04</x:v>
      </x:c>
      <x:c r="B23" s="30" t="str">
        <x:v>Khải</x:v>
      </x:c>
      <x:c r="C23" s="30" t="str">
        <x:v>M02</x:v>
      </x:c>
      <x:c r="D23" s="30" t="str">
        <x:v>TLS, Certificate &amp; Security Header Analysis</x:v>
      </x:c>
      <x:c r="E23" s="30" t="n">
        <x:f>COUNTIF('Feature Progress'!$E$2:$E$423,A23)</x:f>
        <x:v>7</x:v>
      </x:c>
      <x:c r="F23" s="30" t="n">
        <x:f>COUNTIFS('Feature Progress'!$E$2:$E$423,A23,'Feature Progress'!$J$2:$J$423,"☑")</x:f>
        <x:v>0</x:v>
      </x:c>
      <x:c r="G23" s="30" t="n">
        <x:f>COUNTIFS('Feature Progress'!$E$2:$E$423,A23,'Feature Progress'!$K$2:$K$423,"Đang làm")</x:f>
        <x:v>0</x:v>
      </x:c>
      <x:c r="H23" s="30" t="n">
        <x:f>COUNTIFS('Feature Progress'!$E$2:$E$423,A23,'Feature Progress'!$K$2:$K$423,"Blocked")</x:f>
        <x:v>0</x:v>
      </x:c>
      <x:c r="I23" s="40" t="n">
        <x:f>IF(E23=0,0,F23/E23)</x:f>
        <x:v>0</x:v>
      </x:c>
      <x:c r="J23" s="40" t="n">
        <x:f>IF(E23=0,0,SUMIF('Feature Progress'!$E$2:$E$423,A23,'Feature Progress'!$L$2:$L$423)/E23)</x:f>
        <x:v>0</x:v>
      </x:c>
      <x:c r="K23" s="30" t="n">
        <x:v>2</x:v>
      </x:c>
      <x:c r="L23" s="30" t="n">
        <x:v>3</x:v>
      </x:c>
      <x:c r="M23" s="30" t="n">
        <x:v>2</x:v>
      </x:c>
    </x:row>
    <x:row r="24">
      <x:c r="A24" s="30" t="str">
        <x:v>K-WP05</x:v>
      </x:c>
      <x:c r="B24" s="30" t="str">
        <x:v>Khải</x:v>
      </x:c>
      <x:c r="C24" s="30" t="str">
        <x:v>M02</x:v>
      </x:c>
      <x:c r="D24" s="30" t="str">
        <x:v>HTML/Form &amp; Web Content Analysis</x:v>
      </x:c>
      <x:c r="E24" s="30" t="n">
        <x:f>COUNTIF('Feature Progress'!$E$2:$E$423,A24)</x:f>
        <x:v>8</x:v>
      </x:c>
      <x:c r="F24" s="30" t="n">
        <x:f>COUNTIFS('Feature Progress'!$E$2:$E$423,A24,'Feature Progress'!$J$2:$J$423,"☑")</x:f>
        <x:v>0</x:v>
      </x:c>
      <x:c r="G24" s="30" t="n">
        <x:f>COUNTIFS('Feature Progress'!$E$2:$E$423,A24,'Feature Progress'!$K$2:$K$423,"Đang làm")</x:f>
        <x:v>0</x:v>
      </x:c>
      <x:c r="H24" s="30" t="n">
        <x:f>COUNTIFS('Feature Progress'!$E$2:$E$423,A24,'Feature Progress'!$K$2:$K$423,"Blocked")</x:f>
        <x:v>0</x:v>
      </x:c>
      <x:c r="I24" s="40" t="n">
        <x:f>IF(E24=0,0,F24/E24)</x:f>
        <x:v>0</x:v>
      </x:c>
      <x:c r="J24" s="40" t="n">
        <x:f>IF(E24=0,0,SUMIF('Feature Progress'!$E$2:$E$423,A24,'Feature Progress'!$L$2:$L$423)/E24)</x:f>
        <x:v>0</x:v>
      </x:c>
      <x:c r="K24" s="30" t="n">
        <x:v>3</x:v>
      </x:c>
      <x:c r="L24" s="30" t="n">
        <x:v>3</x:v>
      </x:c>
      <x:c r="M24" s="30" t="n">
        <x:v>2</x:v>
      </x:c>
    </x:row>
    <x:row r="25">
      <x:c r="A25" s="30" t="str">
        <x:v>K-WP06</x:v>
      </x:c>
      <x:c r="B25" s="30" t="str">
        <x:v>Khải</x:v>
      </x:c>
      <x:c r="C25" s="30" t="str">
        <x:v>M02</x:v>
      </x:c>
      <x:c r="D25" s="30" t="str">
        <x:v>Brand Impersonation &amp; Typosquatting Detection</x:v>
      </x:c>
      <x:c r="E25" s="30" t="n">
        <x:f>COUNTIF('Feature Progress'!$E$2:$E$423,A25)</x:f>
        <x:v>7</x:v>
      </x:c>
      <x:c r="F25" s="30" t="n">
        <x:f>COUNTIFS('Feature Progress'!$E$2:$E$423,A25,'Feature Progress'!$J$2:$J$423,"☑")</x:f>
        <x:v>0</x:v>
      </x:c>
      <x:c r="G25" s="30" t="n">
        <x:f>COUNTIFS('Feature Progress'!$E$2:$E$423,A25,'Feature Progress'!$K$2:$K$423,"Đang làm")</x:f>
        <x:v>0</x:v>
      </x:c>
      <x:c r="H25" s="30" t="n">
        <x:f>COUNTIFS('Feature Progress'!$E$2:$E$423,A25,'Feature Progress'!$K$2:$K$423,"Blocked")</x:f>
        <x:v>0</x:v>
      </x:c>
      <x:c r="I25" s="40" t="n">
        <x:f>IF(E25=0,0,F25/E25)</x:f>
        <x:v>0</x:v>
      </x:c>
      <x:c r="J25" s="40" t="n">
        <x:f>IF(E25=0,0,SUMIF('Feature Progress'!$E$2:$E$423,A25,'Feature Progress'!$L$2:$L$423)/E25)</x:f>
        <x:v>0</x:v>
      </x:c>
      <x:c r="K25" s="30" t="n">
        <x:v>2</x:v>
      </x:c>
      <x:c r="L25" s="30" t="n">
        <x:v>3</x:v>
      </x:c>
      <x:c r="M25" s="30" t="n">
        <x:v>2</x:v>
      </x:c>
    </x:row>
    <x:row r="26">
      <x:c r="A26" s="30" t="str">
        <x:v>K-WP07</x:v>
      </x:c>
      <x:c r="B26" s="30" t="str">
        <x:v>Khải</x:v>
      </x:c>
      <x:c r="C26" s="30" t="str">
        <x:v>M02</x:v>
      </x:c>
      <x:c r="D26" s="30" t="str">
        <x:v>Web Evidence Capture &amp; Retention</x:v>
      </x:c>
      <x:c r="E26" s="30" t="n">
        <x:f>COUNTIF('Feature Progress'!$E$2:$E$423,A26)</x:f>
        <x:v>7</x:v>
      </x:c>
      <x:c r="F26" s="30" t="n">
        <x:f>COUNTIFS('Feature Progress'!$E$2:$E$423,A26,'Feature Progress'!$J$2:$J$423,"☑")</x:f>
        <x:v>0</x:v>
      </x:c>
      <x:c r="G26" s="30" t="n">
        <x:f>COUNTIFS('Feature Progress'!$E$2:$E$423,A26,'Feature Progress'!$K$2:$K$423,"Đang làm")</x:f>
        <x:v>0</x:v>
      </x:c>
      <x:c r="H26" s="30" t="n">
        <x:f>COUNTIFS('Feature Progress'!$E$2:$E$423,A26,'Feature Progress'!$K$2:$K$423,"Blocked")</x:f>
        <x:v>0</x:v>
      </x:c>
      <x:c r="I26" s="40" t="n">
        <x:f>IF(E26=0,0,F26/E26)</x:f>
        <x:v>0</x:v>
      </x:c>
      <x:c r="J26" s="40" t="n">
        <x:f>IF(E26=0,0,SUMIF('Feature Progress'!$E$2:$E$423,A26,'Feature Progress'!$L$2:$L$423)/E26)</x:f>
        <x:v>0</x:v>
      </x:c>
      <x:c r="K26" s="30" t="n">
        <x:v>0</x:v>
      </x:c>
      <x:c r="L26" s="30" t="n">
        <x:v>4</x:v>
      </x:c>
      <x:c r="M26" s="30" t="n">
        <x:v>3</x:v>
      </x:c>
    </x:row>
    <x:row r="27">
      <x:c r="A27" s="30" t="str">
        <x:v>K-WP08</x:v>
      </x:c>
      <x:c r="B27" s="30" t="str">
        <x:v>Khải</x:v>
      </x:c>
      <x:c r="C27" s="30" t="str">
        <x:v>M02</x:v>
      </x:c>
      <x:c r="D27" s="30" t="str">
        <x:v>URL Worker Contract &amp; Reputation Enrichment Boundary</x:v>
      </x:c>
      <x:c r="E27" s="30" t="n">
        <x:f>COUNTIF('Feature Progress'!$E$2:$E$423,A27)</x:f>
        <x:v>4</x:v>
      </x:c>
      <x:c r="F27" s="30" t="n">
        <x:f>COUNTIFS('Feature Progress'!$E$2:$E$423,A27,'Feature Progress'!$J$2:$J$423,"☑")</x:f>
        <x:v>0</x:v>
      </x:c>
      <x:c r="G27" s="30" t="n">
        <x:f>COUNTIFS('Feature Progress'!$E$2:$E$423,A27,'Feature Progress'!$K$2:$K$423,"Đang làm")</x:f>
        <x:v>0</x:v>
      </x:c>
      <x:c r="H27" s="30" t="n">
        <x:f>COUNTIFS('Feature Progress'!$E$2:$E$423,A27,'Feature Progress'!$K$2:$K$423,"Blocked")</x:f>
        <x:v>0</x:v>
      </x:c>
      <x:c r="I27" s="40" t="n">
        <x:f>IF(E27=0,0,F27/E27)</x:f>
        <x:v>0</x:v>
      </x:c>
      <x:c r="J27" s="40" t="n">
        <x:f>IF(E27=0,0,SUMIF('Feature Progress'!$E$2:$E$423,A27,'Feature Progress'!$L$2:$L$423)/E27)</x:f>
        <x:v>0</x:v>
      </x:c>
      <x:c r="K27" s="30" t="n">
        <x:v>4</x:v>
      </x:c>
      <x:c r="L27" s="30" t="n">
        <x:v>0</x:v>
      </x:c>
      <x:c r="M27" s="30" t="n">
        <x:v>0</x:v>
      </x:c>
    </x:row>
    <x:row r="28">
      <x:c r="A28" s="30" t="str">
        <x:v>K-WP09</x:v>
      </x:c>
      <x:c r="B28" s="30" t="str">
        <x:v>Khải</x:v>
      </x:c>
      <x:c r="C28" s="30" t="str">
        <x:v>M13</x:v>
      </x:c>
      <x:c r="D28" s="30" t="str">
        <x:v>Data Privacy &amp; Secret Baseline</x:v>
      </x:c>
      <x:c r="E28" s="30" t="n">
        <x:f>COUNTIF('Feature Progress'!$E$2:$E$423,A28)</x:f>
        <x:v>4</x:v>
      </x:c>
      <x:c r="F28" s="30" t="n">
        <x:f>COUNTIFS('Feature Progress'!$E$2:$E$423,A28,'Feature Progress'!$J$2:$J$423,"☑")</x:f>
        <x:v>0</x:v>
      </x:c>
      <x:c r="G28" s="30" t="n">
        <x:f>COUNTIFS('Feature Progress'!$E$2:$E$423,A28,'Feature Progress'!$K$2:$K$423,"Đang làm")</x:f>
        <x:v>0</x:v>
      </x:c>
      <x:c r="H28" s="30" t="n">
        <x:f>COUNTIFS('Feature Progress'!$E$2:$E$423,A28,'Feature Progress'!$K$2:$K$423,"Blocked")</x:f>
        <x:v>0</x:v>
      </x:c>
      <x:c r="I28" s="40" t="n">
        <x:f>IF(E28=0,0,F28/E28)</x:f>
        <x:v>0</x:v>
      </x:c>
      <x:c r="J28" s="40" t="n">
        <x:f>IF(E28=0,0,SUMIF('Feature Progress'!$E$2:$E$423,A28,'Feature Progress'!$L$2:$L$423)/E28)</x:f>
        <x:v>0</x:v>
      </x:c>
      <x:c r="K28" s="30" t="n">
        <x:v>4</x:v>
      </x:c>
      <x:c r="L28" s="30" t="n">
        <x:v>0</x:v>
      </x:c>
      <x:c r="M28" s="30" t="n">
        <x:v>0</x:v>
      </x:c>
    </x:row>
    <x:row r="29">
      <x:c r="A29" s="30" t="str">
        <x:v>K-WP10</x:v>
      </x:c>
      <x:c r="B29" s="30" t="str">
        <x:v>Khải</x:v>
      </x:c>
      <x:c r="C29" s="30" t="str">
        <x:v>M13</x:v>
      </x:c>
      <x:c r="D29" s="30" t="str">
        <x:v>Platform Runtime, Containers, Core Topology &amp; Readiness</x:v>
      </x:c>
      <x:c r="E29" s="30" t="n">
        <x:f>COUNTIF('Feature Progress'!$E$2:$E$423,A29)</x:f>
        <x:v>9</x:v>
      </x:c>
      <x:c r="F29" s="30" t="n">
        <x:f>COUNTIFS('Feature Progress'!$E$2:$E$423,A29,'Feature Progress'!$J$2:$J$423,"☑")</x:f>
        <x:v>0</x:v>
      </x:c>
      <x:c r="G29" s="30" t="n">
        <x:f>COUNTIFS('Feature Progress'!$E$2:$E$423,A29,'Feature Progress'!$K$2:$K$423,"Đang làm")</x:f>
        <x:v>0</x:v>
      </x:c>
      <x:c r="H29" s="30" t="n">
        <x:f>COUNTIFS('Feature Progress'!$E$2:$E$423,A29,'Feature Progress'!$K$2:$K$423,"Blocked")</x:f>
        <x:v>0</x:v>
      </x:c>
      <x:c r="I29" s="40" t="n">
        <x:f>IF(E29=0,0,F29/E29)</x:f>
        <x:v>0</x:v>
      </x:c>
      <x:c r="J29" s="40" t="n">
        <x:f>IF(E29=0,0,SUMIF('Feature Progress'!$E$2:$E$423,A29,'Feature Progress'!$L$2:$L$423)/E29)</x:f>
        <x:v>0</x:v>
      </x:c>
      <x:c r="K29" s="30" t="n">
        <x:v>8</x:v>
      </x:c>
      <x:c r="L29" s="30" t="n">
        <x:v>1</x:v>
      </x:c>
      <x:c r="M29" s="30" t="n">
        <x:v>0</x:v>
      </x:c>
    </x:row>
    <x:row r="30">
      <x:c r="A30" s="30" t="str">
        <x:v>K-WP11</x:v>
      </x:c>
      <x:c r="B30" s="30" t="str">
        <x:v>Khải</x:v>
      </x:c>
      <x:c r="C30" s="30" t="str">
        <x:v>M13</x:v>
      </x:c>
      <x:c r="D30" s="30" t="str">
        <x:v>CI Baseline &amp; Quality Gates</x:v>
      </x:c>
      <x:c r="E30" s="30" t="n">
        <x:f>COUNTIF('Feature Progress'!$E$2:$E$423,A30)</x:f>
        <x:v>5</x:v>
      </x:c>
      <x:c r="F30" s="30" t="n">
        <x:f>COUNTIFS('Feature Progress'!$E$2:$E$423,A30,'Feature Progress'!$J$2:$J$423,"☑")</x:f>
        <x:v>0</x:v>
      </x:c>
      <x:c r="G30" s="30" t="n">
        <x:f>COUNTIFS('Feature Progress'!$E$2:$E$423,A30,'Feature Progress'!$K$2:$K$423,"Đang làm")</x:f>
        <x:v>0</x:v>
      </x:c>
      <x:c r="H30" s="30" t="n">
        <x:f>COUNTIFS('Feature Progress'!$E$2:$E$423,A30,'Feature Progress'!$K$2:$K$423,"Blocked")</x:f>
        <x:v>0</x:v>
      </x:c>
      <x:c r="I30" s="40" t="n">
        <x:f>IF(E30=0,0,F30/E30)</x:f>
        <x:v>0</x:v>
      </x:c>
      <x:c r="J30" s="40" t="n">
        <x:f>IF(E30=0,0,SUMIF('Feature Progress'!$E$2:$E$423,A30,'Feature Progress'!$L$2:$L$423)/E30)</x:f>
        <x:v>0</x:v>
      </x:c>
      <x:c r="K30" s="30" t="n">
        <x:v>2</x:v>
      </x:c>
      <x:c r="L30" s="30" t="n">
        <x:v>3</x:v>
      </x:c>
      <x:c r="M30" s="30" t="n">
        <x:v>0</x:v>
      </x:c>
    </x:row>
    <x:row r="31">
      <x:c r="A31" s="30" t="str">
        <x:v>K-WP12</x:v>
      </x:c>
      <x:c r="B31" s="30" t="str">
        <x:v>Khải</x:v>
      </x:c>
      <x:c r="C31" s="30" t="str">
        <x:v>M13</x:v>
      </x:c>
      <x:c r="D31" s="30" t="str">
        <x:v>MVP CD, Migration &amp; Release Automation</x:v>
      </x:c>
      <x:c r="E31" s="30" t="n">
        <x:f>COUNTIF('Feature Progress'!$E$2:$E$423,A31)</x:f>
        <x:v>4</x:v>
      </x:c>
      <x:c r="F31" s="30" t="n">
        <x:f>COUNTIFS('Feature Progress'!$E$2:$E$423,A31,'Feature Progress'!$J$2:$J$423,"☑")</x:f>
        <x:v>0</x:v>
      </x:c>
      <x:c r="G31" s="30" t="n">
        <x:f>COUNTIFS('Feature Progress'!$E$2:$E$423,A31,'Feature Progress'!$K$2:$K$423,"Đang làm")</x:f>
        <x:v>0</x:v>
      </x:c>
      <x:c r="H31" s="30" t="n">
        <x:f>COUNTIFS('Feature Progress'!$E$2:$E$423,A31,'Feature Progress'!$K$2:$K$423,"Blocked")</x:f>
        <x:v>0</x:v>
      </x:c>
      <x:c r="I31" s="40" t="n">
        <x:f>IF(E31=0,0,F31/E31)</x:f>
        <x:v>0</x:v>
      </x:c>
      <x:c r="J31" s="40" t="n">
        <x:f>IF(E31=0,0,SUMIF('Feature Progress'!$E$2:$E$423,A31,'Feature Progress'!$L$2:$L$423)/E31)</x:f>
        <x:v>0</x:v>
      </x:c>
      <x:c r="K31" s="30" t="n">
        <x:v>3</x:v>
      </x:c>
      <x:c r="L31" s="30" t="n">
        <x:v>1</x:v>
      </x:c>
      <x:c r="M31" s="30" t="n">
        <x:v>0</x:v>
      </x:c>
    </x:row>
    <x:row r="32">
      <x:c r="A32" s="30" t="str">
        <x:v>K-WP13</x:v>
      </x:c>
      <x:c r="B32" s="30" t="str">
        <x:v>Khải</x:v>
      </x:c>
      <x:c r="C32" s="30" t="str">
        <x:v>M13</x:v>
      </x:c>
      <x:c r="D32" s="30" t="str">
        <x:v>Data Ops, Structured Logging, Metrics &amp; Alerting</x:v>
      </x:c>
      <x:c r="E32" s="30" t="n">
        <x:f>COUNTIF('Feature Progress'!$E$2:$E$423,A32)</x:f>
        <x:v>4</x:v>
      </x:c>
      <x:c r="F32" s="30" t="n">
        <x:f>COUNTIFS('Feature Progress'!$E$2:$E$423,A32,'Feature Progress'!$J$2:$J$423,"☑")</x:f>
        <x:v>0</x:v>
      </x:c>
      <x:c r="G32" s="30" t="n">
        <x:f>COUNTIFS('Feature Progress'!$E$2:$E$423,A32,'Feature Progress'!$K$2:$K$423,"Đang làm")</x:f>
        <x:v>0</x:v>
      </x:c>
      <x:c r="H32" s="30" t="n">
        <x:f>COUNTIFS('Feature Progress'!$E$2:$E$423,A32,'Feature Progress'!$K$2:$K$423,"Blocked")</x:f>
        <x:v>0</x:v>
      </x:c>
      <x:c r="I32" s="40" t="n">
        <x:f>IF(E32=0,0,F32/E32)</x:f>
        <x:v>0</x:v>
      </x:c>
      <x:c r="J32" s="40" t="n">
        <x:f>IF(E32=0,0,SUMIF('Feature Progress'!$E$2:$E$423,A32,'Feature Progress'!$L$2:$L$423)/E32)</x:f>
        <x:v>0</x:v>
      </x:c>
      <x:c r="K32" s="30" t="n">
        <x:v>0</x:v>
      </x:c>
      <x:c r="L32" s="30" t="n">
        <x:v>2</x:v>
      </x:c>
      <x:c r="M32" s="30" t="n">
        <x:v>2</x:v>
      </x:c>
    </x:row>
    <x:row r="33">
      <x:c r="A33" s="30" t="str">
        <x:v>K-WP14</x:v>
      </x:c>
      <x:c r="B33" s="30" t="str">
        <x:v>Khải</x:v>
      </x:c>
      <x:c r="C33" s="30" t="str">
        <x:v>M13</x:v>
      </x:c>
      <x:c r="D33" s="30" t="str">
        <x:v>Accessibility, i18n &amp; Mobile Entry Surfaces</x:v>
      </x:c>
      <x:c r="E33" s="30" t="n">
        <x:f>COUNTIF('Feature Progress'!$E$2:$E$423,A33)</x:f>
        <x:v>9</x:v>
      </x:c>
      <x:c r="F33" s="30" t="n">
        <x:f>COUNTIFS('Feature Progress'!$E$2:$E$423,A33,'Feature Progress'!$J$2:$J$423,"☑")</x:f>
        <x:v>0</x:v>
      </x:c>
      <x:c r="G33" s="30" t="n">
        <x:f>COUNTIFS('Feature Progress'!$E$2:$E$423,A33,'Feature Progress'!$K$2:$K$423,"Đang làm")</x:f>
        <x:v>0</x:v>
      </x:c>
      <x:c r="H33" s="30" t="n">
        <x:f>COUNTIFS('Feature Progress'!$E$2:$E$423,A33,'Feature Progress'!$K$2:$K$423,"Blocked")</x:f>
        <x:v>0</x:v>
      </x:c>
      <x:c r="I33" s="40" t="n">
        <x:f>IF(E33=0,0,F33/E33)</x:f>
        <x:v>0</x:v>
      </x:c>
      <x:c r="J33" s="40" t="n">
        <x:f>IF(E33=0,0,SUMIF('Feature Progress'!$E$2:$E$423,A33,'Feature Progress'!$L$2:$L$423)/E33)</x:f>
        <x:v>0</x:v>
      </x:c>
      <x:c r="K33" s="30" t="n">
        <x:v>1</x:v>
      </x:c>
      <x:c r="L33" s="30" t="n">
        <x:v>4</x:v>
      </x:c>
      <x:c r="M33" s="30" t="n">
        <x:v>4</x:v>
      </x:c>
    </x:row>
    <x:row r="34">
      <x:c r="A34" s="30" t="str">
        <x:v>I-WP01</x:v>
      </x:c>
      <x:c r="B34" s="30" t="str">
        <x:v>Kiên</x:v>
      </x:c>
      <x:c r="C34" s="30" t="str">
        <x:v>M08</x:v>
      </x:c>
      <x:c r="D34" s="30" t="str">
        <x:v>Threat Feed Ingestion &amp; Dataset Lifecycle</x:v>
      </x:c>
      <x:c r="E34" s="30" t="n">
        <x:f>COUNTIF('Feature Progress'!$E$2:$E$423,A34)</x:f>
        <x:v>7</x:v>
      </x:c>
      <x:c r="F34" s="30" t="n">
        <x:f>COUNTIFS('Feature Progress'!$E$2:$E$423,A34,'Feature Progress'!$J$2:$J$423,"☑")</x:f>
        <x:v>0</x:v>
      </x:c>
      <x:c r="G34" s="30" t="n">
        <x:f>COUNTIFS('Feature Progress'!$E$2:$E$423,A34,'Feature Progress'!$K$2:$K$423,"Đang làm")</x:f>
        <x:v>0</x:v>
      </x:c>
      <x:c r="H34" s="30" t="n">
        <x:f>COUNTIFS('Feature Progress'!$E$2:$E$423,A34,'Feature Progress'!$K$2:$K$423,"Blocked")</x:f>
        <x:v>0</x:v>
      </x:c>
      <x:c r="I34" s="40" t="n">
        <x:f>IF(E34=0,0,F34/E34)</x:f>
        <x:v>0</x:v>
      </x:c>
      <x:c r="J34" s="40" t="n">
        <x:f>IF(E34=0,0,SUMIF('Feature Progress'!$E$2:$E$423,A34,'Feature Progress'!$L$2:$L$423)/E34)</x:f>
        <x:v>0</x:v>
      </x:c>
      <x:c r="K34" s="30" t="n">
        <x:v>0</x:v>
      </x:c>
      <x:c r="L34" s="30" t="n">
        <x:v>4</x:v>
      </x:c>
      <x:c r="M34" s="30" t="n">
        <x:v>3</x:v>
      </x:c>
    </x:row>
    <x:row r="35">
      <x:c r="A35" s="30" t="str">
        <x:v>I-WP02</x:v>
      </x:c>
      <x:c r="B35" s="30" t="str">
        <x:v>Kiên</x:v>
      </x:c>
      <x:c r="C35" s="30" t="str">
        <x:v>M08</x:v>
      </x:c>
      <x:c r="D35" s="30" t="str">
        <x:v>Whitelist / Blacklist Administration</x:v>
      </x:c>
      <x:c r="E35" s="30" t="n">
        <x:f>COUNTIF('Feature Progress'!$E$2:$E$423,A35)</x:f>
        <x:v>8</x:v>
      </x:c>
      <x:c r="F35" s="30" t="n">
        <x:f>COUNTIFS('Feature Progress'!$E$2:$E$423,A35,'Feature Progress'!$J$2:$J$423,"☑")</x:f>
        <x:v>0</x:v>
      </x:c>
      <x:c r="G35" s="30" t="n">
        <x:f>COUNTIFS('Feature Progress'!$E$2:$E$423,A35,'Feature Progress'!$K$2:$K$423,"Đang làm")</x:f>
        <x:v>0</x:v>
      </x:c>
      <x:c r="H35" s="30" t="n">
        <x:f>COUNTIFS('Feature Progress'!$E$2:$E$423,A35,'Feature Progress'!$K$2:$K$423,"Blocked")</x:f>
        <x:v>0</x:v>
      </x:c>
      <x:c r="I35" s="40" t="n">
        <x:f>IF(E35=0,0,F35/E35)</x:f>
        <x:v>0</x:v>
      </x:c>
      <x:c r="J35" s="40" t="n">
        <x:f>IF(E35=0,0,SUMIF('Feature Progress'!$E$2:$E$423,A35,'Feature Progress'!$L$2:$L$423)/E35)</x:f>
        <x:v>0</x:v>
      </x:c>
      <x:c r="K35" s="30" t="n">
        <x:v>2</x:v>
      </x:c>
      <x:c r="L35" s="30" t="n">
        <x:v>4</x:v>
      </x:c>
      <x:c r="M35" s="30" t="n">
        <x:v>2</x:v>
      </x:c>
    </x:row>
    <x:row r="36">
      <x:c r="A36" s="30" t="str">
        <x:v>I-WP03</x:v>
      </x:c>
      <x:c r="B36" s="30" t="str">
        <x:v>Kiên</x:v>
      </x:c>
      <x:c r="C36" s="30" t="str">
        <x:v>M08</x:v>
      </x:c>
      <x:c r="D36" s="30" t="str">
        <x:v>Risk Entity Registry &amp; Evidence Consolidation</x:v>
      </x:c>
      <x:c r="E36" s="30" t="n">
        <x:f>COUNTIF('Feature Progress'!$E$2:$E$423,A36)</x:f>
        <x:v>9</x:v>
      </x:c>
      <x:c r="F36" s="30" t="n">
        <x:f>COUNTIFS('Feature Progress'!$E$2:$E$423,A36,'Feature Progress'!$J$2:$J$423,"☑")</x:f>
        <x:v>0</x:v>
      </x:c>
      <x:c r="G36" s="30" t="n">
        <x:f>COUNTIFS('Feature Progress'!$E$2:$E$423,A36,'Feature Progress'!$K$2:$K$423,"Đang làm")</x:f>
        <x:v>0</x:v>
      </x:c>
      <x:c r="H36" s="30" t="n">
        <x:f>COUNTIFS('Feature Progress'!$E$2:$E$423,A36,'Feature Progress'!$K$2:$K$423,"Blocked")</x:f>
        <x:v>0</x:v>
      </x:c>
      <x:c r="I36" s="40" t="n">
        <x:f>IF(E36=0,0,F36/E36)</x:f>
        <x:v>0</x:v>
      </x:c>
      <x:c r="J36" s="40" t="n">
        <x:f>IF(E36=0,0,SUMIF('Feature Progress'!$E$2:$E$423,A36,'Feature Progress'!$L$2:$L$423)/E36)</x:f>
        <x:v>0</x:v>
      </x:c>
      <x:c r="K36" s="30" t="n">
        <x:v>3</x:v>
      </x:c>
      <x:c r="L36" s="30" t="n">
        <x:v>3</x:v>
      </x:c>
      <x:c r="M36" s="30" t="n">
        <x:v>3</x:v>
      </x:c>
    </x:row>
    <x:row r="37">
      <x:c r="A37" s="30" t="str">
        <x:v>I-WP04</x:v>
      </x:c>
      <x:c r="B37" s="30" t="str">
        <x:v>Kiên</x:v>
      </x:c>
      <x:c r="C37" s="30" t="str">
        <x:v>M08</x:v>
      </x:c>
      <x:c r="D37" s="30" t="str">
        <x:v>Core ThreatQuery &amp; Deferred Reputation Enrichment</x:v>
      </x:c>
      <x:c r="E37" s="30" t="n">
        <x:f>COUNTIF('Feature Progress'!$E$2:$E$423,A37)</x:f>
        <x:v>3</x:v>
      </x:c>
      <x:c r="F37" s="30" t="n">
        <x:f>COUNTIFS('Feature Progress'!$E$2:$E$423,A37,'Feature Progress'!$J$2:$J$423,"☑")</x:f>
        <x:v>0</x:v>
      </x:c>
      <x:c r="G37" s="30" t="n">
        <x:f>COUNTIFS('Feature Progress'!$E$2:$E$423,A37,'Feature Progress'!$K$2:$K$423,"Đang làm")</x:f>
        <x:v>0</x:v>
      </x:c>
      <x:c r="H37" s="30" t="n">
        <x:f>COUNTIFS('Feature Progress'!$E$2:$E$423,A37,'Feature Progress'!$K$2:$K$423,"Blocked")</x:f>
        <x:v>0</x:v>
      </x:c>
      <x:c r="I37" s="40" t="n">
        <x:f>IF(E37=0,0,F37/E37)</x:f>
        <x:v>0</x:v>
      </x:c>
      <x:c r="J37" s="40" t="n">
        <x:f>IF(E37=0,0,SUMIF('Feature Progress'!$E$2:$E$423,A37,'Feature Progress'!$L$2:$L$423)/E37)</x:f>
        <x:v>0</x:v>
      </x:c>
      <x:c r="K37" s="30" t="n">
        <x:v>3</x:v>
      </x:c>
      <x:c r="L37" s="30" t="n">
        <x:v>0</x:v>
      </x:c>
      <x:c r="M37" s="30" t="n">
        <x:v>0</x:v>
      </x:c>
    </x:row>
    <x:row r="38">
      <x:c r="A38" s="30" t="str">
        <x:v>I-WP05</x:v>
      </x:c>
      <x:c r="B38" s="30" t="str">
        <x:v>Kiên</x:v>
      </x:c>
      <x:c r="C38" s="30" t="str">
        <x:v>M09</x:v>
      </x:c>
      <x:c r="D38" s="30" t="str">
        <x:v>Rule Evaluation Core &amp; Result Composition</x:v>
      </x:c>
      <x:c r="E38" s="30" t="n">
        <x:f>COUNTIF('Feature Progress'!$E$2:$E$423,A38)</x:f>
        <x:v>5</x:v>
      </x:c>
      <x:c r="F38" s="30" t="n">
        <x:f>COUNTIFS('Feature Progress'!$E$2:$E$423,A38,'Feature Progress'!$J$2:$J$423,"☑")</x:f>
        <x:v>0</x:v>
      </x:c>
      <x:c r="G38" s="30" t="n">
        <x:f>COUNTIFS('Feature Progress'!$E$2:$E$423,A38,'Feature Progress'!$K$2:$K$423,"Đang làm")</x:f>
        <x:v>0</x:v>
      </x:c>
      <x:c r="H38" s="30" t="n">
        <x:f>COUNTIFS('Feature Progress'!$E$2:$E$423,A38,'Feature Progress'!$K$2:$K$423,"Blocked")</x:f>
        <x:v>0</x:v>
      </x:c>
      <x:c r="I38" s="40" t="n">
        <x:f>IF(E38=0,0,F38/E38)</x:f>
        <x:v>0</x:v>
      </x:c>
      <x:c r="J38" s="40" t="n">
        <x:f>IF(E38=0,0,SUMIF('Feature Progress'!$E$2:$E$423,A38,'Feature Progress'!$L$2:$L$423)/E38)</x:f>
        <x:v>0</x:v>
      </x:c>
      <x:c r="K38" s="30" t="n">
        <x:v>5</x:v>
      </x:c>
      <x:c r="L38" s="30" t="n">
        <x:v>0</x:v>
      </x:c>
      <x:c r="M38" s="30" t="n">
        <x:v>0</x:v>
      </x:c>
    </x:row>
    <x:row r="39">
      <x:c r="A39" s="30" t="str">
        <x:v>I-WP06</x:v>
      </x:c>
      <x:c r="B39" s="30" t="str">
        <x:v>Kiên</x:v>
      </x:c>
      <x:c r="C39" s="30" t="str">
        <x:v>M09</x:v>
      </x:c>
      <x:c r="D39" s="30" t="str">
        <x:v>Risk Fusion Policy, Thresholds &amp; Missing-Signal Handling</x:v>
      </x:c>
      <x:c r="E39" s="30" t="n">
        <x:f>COUNTIF('Feature Progress'!$E$2:$E$423,A39)</x:f>
        <x:v>6</x:v>
      </x:c>
      <x:c r="F39" s="30" t="n">
        <x:f>COUNTIFS('Feature Progress'!$E$2:$E$423,A39,'Feature Progress'!$J$2:$J$423,"☑")</x:f>
        <x:v>0</x:v>
      </x:c>
      <x:c r="G39" s="30" t="n">
        <x:f>COUNTIFS('Feature Progress'!$E$2:$E$423,A39,'Feature Progress'!$K$2:$K$423,"Đang làm")</x:f>
        <x:v>0</x:v>
      </x:c>
      <x:c r="H39" s="30" t="n">
        <x:f>COUNTIFS('Feature Progress'!$E$2:$E$423,A39,'Feature Progress'!$K$2:$K$423,"Blocked")</x:f>
        <x:v>0</x:v>
      </x:c>
      <x:c r="I39" s="40" t="n">
        <x:f>IF(E39=0,0,F39/E39)</x:f>
        <x:v>0</x:v>
      </x:c>
      <x:c r="J39" s="40" t="n">
        <x:f>IF(E39=0,0,SUMIF('Feature Progress'!$E$2:$E$423,A39,'Feature Progress'!$L$2:$L$423)/E39)</x:f>
        <x:v>0</x:v>
      </x:c>
      <x:c r="K39" s="30" t="n">
        <x:v>3</x:v>
      </x:c>
      <x:c r="L39" s="30" t="n">
        <x:v>2</x:v>
      </x:c>
      <x:c r="M39" s="30" t="n">
        <x:v>1</x:v>
      </x:c>
    </x:row>
    <x:row r="40">
      <x:c r="A40" s="30" t="str">
        <x:v>I-WP07</x:v>
      </x:c>
      <x:c r="B40" s="30" t="str">
        <x:v>Kiên</x:v>
      </x:c>
      <x:c r="C40" s="30" t="str">
        <x:v>M09</x:v>
      </x:c>
      <x:c r="D40" s="30" t="str">
        <x:v>Rule Repository &amp; Admin Management</x:v>
      </x:c>
      <x:c r="E40" s="30" t="n">
        <x:f>COUNTIF('Feature Progress'!$E$2:$E$423,A40)</x:f>
        <x:v>8</x:v>
      </x:c>
      <x:c r="F40" s="30" t="n">
        <x:f>COUNTIFS('Feature Progress'!$E$2:$E$423,A40,'Feature Progress'!$J$2:$J$423,"☑")</x:f>
        <x:v>0</x:v>
      </x:c>
      <x:c r="G40" s="30" t="n">
        <x:f>COUNTIFS('Feature Progress'!$E$2:$E$423,A40,'Feature Progress'!$K$2:$K$423,"Đang làm")</x:f>
        <x:v>0</x:v>
      </x:c>
      <x:c r="H40" s="30" t="n">
        <x:f>COUNTIFS('Feature Progress'!$E$2:$E$423,A40,'Feature Progress'!$K$2:$K$423,"Blocked")</x:f>
        <x:v>0</x:v>
      </x:c>
      <x:c r="I40" s="40" t="n">
        <x:f>IF(E40=0,0,F40/E40)</x:f>
        <x:v>0</x:v>
      </x:c>
      <x:c r="J40" s="40" t="n">
        <x:f>IF(E40=0,0,SUMIF('Feature Progress'!$E$2:$E$423,A40,'Feature Progress'!$L$2:$L$423)/E40)</x:f>
        <x:v>0</x:v>
      </x:c>
      <x:c r="K40" s="30" t="n">
        <x:v>2</x:v>
      </x:c>
      <x:c r="L40" s="30" t="n">
        <x:v>4</x:v>
      </x:c>
      <x:c r="M40" s="30" t="n">
        <x:v>2</x:v>
      </x:c>
    </x:row>
    <x:row r="41">
      <x:c r="A41" s="30" t="str">
        <x:v>I-WP08</x:v>
      </x:c>
      <x:c r="B41" s="30" t="str">
        <x:v>Kiên</x:v>
      </x:c>
      <x:c r="C41" s="30" t="str">
        <x:v>M09</x:v>
      </x:c>
      <x:c r="D41" s="30" t="str">
        <x:v>Rule Preview, Simulation &amp; Shadow Evaluation</x:v>
      </x:c>
      <x:c r="E41" s="30" t="n">
        <x:f>COUNTIF('Feature Progress'!$E$2:$E$423,A41)</x:f>
        <x:v>6</x:v>
      </x:c>
      <x:c r="F41" s="30" t="n">
        <x:f>COUNTIFS('Feature Progress'!$E$2:$E$423,A41,'Feature Progress'!$J$2:$J$423,"☑")</x:f>
        <x:v>0</x:v>
      </x:c>
      <x:c r="G41" s="30" t="n">
        <x:f>COUNTIFS('Feature Progress'!$E$2:$E$423,A41,'Feature Progress'!$K$2:$K$423,"Đang làm")</x:f>
        <x:v>0</x:v>
      </x:c>
      <x:c r="H41" s="30" t="n">
        <x:f>COUNTIFS('Feature Progress'!$E$2:$E$423,A41,'Feature Progress'!$K$2:$K$423,"Blocked")</x:f>
        <x:v>0</x:v>
      </x:c>
      <x:c r="I41" s="40" t="n">
        <x:f>IF(E41=0,0,F41/E41)</x:f>
        <x:v>0</x:v>
      </x:c>
      <x:c r="J41" s="40" t="n">
        <x:f>IF(E41=0,0,SUMIF('Feature Progress'!$E$2:$E$423,A41,'Feature Progress'!$L$2:$L$423)/E41)</x:f>
        <x:v>0</x:v>
      </x:c>
      <x:c r="K41" s="30" t="n">
        <x:v>0</x:v>
      </x:c>
      <x:c r="L41" s="30" t="n">
        <x:v>3</x:v>
      </x:c>
      <x:c r="M41" s="30" t="n">
        <x:v>3</x:v>
      </x:c>
    </x:row>
    <x:row r="42">
      <x:c r="A42" s="30" t="str">
        <x:v>I-WP09</x:v>
      </x:c>
      <x:c r="B42" s="30" t="str">
        <x:v>Kiên</x:v>
      </x:c>
      <x:c r="C42" s="30" t="str">
        <x:v>M09</x:v>
      </x:c>
      <x:c r="D42" s="30" t="str">
        <x:v>Rule Versioning, History &amp; Rollback</x:v>
      </x:c>
      <x:c r="E42" s="30" t="n">
        <x:f>COUNTIF('Feature Progress'!$E$2:$E$423,A42)</x:f>
        <x:v>6</x:v>
      </x:c>
      <x:c r="F42" s="30" t="n">
        <x:f>COUNTIFS('Feature Progress'!$E$2:$E$423,A42,'Feature Progress'!$J$2:$J$423,"☑")</x:f>
        <x:v>0</x:v>
      </x:c>
      <x:c r="G42" s="30" t="n">
        <x:f>COUNTIFS('Feature Progress'!$E$2:$E$423,A42,'Feature Progress'!$K$2:$K$423,"Đang làm")</x:f>
        <x:v>0</x:v>
      </x:c>
      <x:c r="H42" s="30" t="n">
        <x:f>COUNTIFS('Feature Progress'!$E$2:$E$423,A42,'Feature Progress'!$K$2:$K$423,"Blocked")</x:f>
        <x:v>0</x:v>
      </x:c>
      <x:c r="I42" s="40" t="n">
        <x:f>IF(E42=0,0,F42/E42)</x:f>
        <x:v>0</x:v>
      </x:c>
      <x:c r="J42" s="40" t="n">
        <x:f>IF(E42=0,0,SUMIF('Feature Progress'!$E$2:$E$423,A42,'Feature Progress'!$L$2:$L$423)/E42)</x:f>
        <x:v>0</x:v>
      </x:c>
      <x:c r="K42" s="30" t="n">
        <x:v>0</x:v>
      </x:c>
      <x:c r="L42" s="30" t="n">
        <x:v>3</x:v>
      </x:c>
      <x:c r="M42" s="30" t="n">
        <x:v>3</x:v>
      </x:c>
    </x:row>
    <x:row r="43">
      <x:c r="A43" s="30" t="str">
        <x:v>I-WP10</x:v>
      </x:c>
      <x:c r="B43" s="30" t="str">
        <x:v>Kiên</x:v>
      </x:c>
      <x:c r="C43" s="30" t="str">
        <x:v>M09</x:v>
      </x:c>
      <x:c r="D43" s="30" t="str">
        <x:v>Risk &amp; Scam Operations Analytics</x:v>
      </x:c>
      <x:c r="E43" s="30" t="n">
        <x:f>COUNTIF('Feature Progress'!$E$2:$E$423,A43)</x:f>
        <x:v>8</x:v>
      </x:c>
      <x:c r="F43" s="30" t="n">
        <x:f>COUNTIFS('Feature Progress'!$E$2:$E$423,A43,'Feature Progress'!$J$2:$J$423,"☑")</x:f>
        <x:v>0</x:v>
      </x:c>
      <x:c r="G43" s="30" t="n">
        <x:f>COUNTIFS('Feature Progress'!$E$2:$E$423,A43,'Feature Progress'!$K$2:$K$423,"Đang làm")</x:f>
        <x:v>0</x:v>
      </x:c>
      <x:c r="H43" s="30" t="n">
        <x:f>COUNTIFS('Feature Progress'!$E$2:$E$423,A43,'Feature Progress'!$K$2:$K$423,"Blocked")</x:f>
        <x:v>0</x:v>
      </x:c>
      <x:c r="I43" s="40" t="n">
        <x:f>IF(E43=0,0,F43/E43)</x:f>
        <x:v>0</x:v>
      </x:c>
      <x:c r="J43" s="40" t="n">
        <x:f>IF(E43=0,0,SUMIF('Feature Progress'!$E$2:$E$423,A43,'Feature Progress'!$L$2:$L$423)/E43)</x:f>
        <x:v>0</x:v>
      </x:c>
      <x:c r="K43" s="30" t="n">
        <x:v>0</x:v>
      </x:c>
      <x:c r="L43" s="30" t="n">
        <x:v>5</x:v>
      </x:c>
      <x:c r="M43" s="30" t="n">
        <x:v>3</x:v>
      </x:c>
    </x:row>
    <x:row r="44">
      <x:c r="A44" s="30" t="str">
        <x:v>I-WP11</x:v>
      </x:c>
      <x:c r="B44" s="30" t="str">
        <x:v>Kiên</x:v>
      </x:c>
      <x:c r="C44" s="30" t="str">
        <x:v>M12</x:v>
      </x:c>
      <x:c r="D44" s="30" t="str">
        <x:v>Request Controls, Authorization &amp; Scan Dispatch</x:v>
      </x:c>
      <x:c r="E44" s="30" t="n">
        <x:f>COUNTIF('Feature Progress'!$E$2:$E$423,A44)</x:f>
        <x:v>6</x:v>
      </x:c>
      <x:c r="F44" s="30" t="n">
        <x:f>COUNTIFS('Feature Progress'!$E$2:$E$423,A44,'Feature Progress'!$J$2:$J$423,"☑")</x:f>
        <x:v>0</x:v>
      </x:c>
      <x:c r="G44" s="30" t="n">
        <x:f>COUNTIFS('Feature Progress'!$E$2:$E$423,A44,'Feature Progress'!$K$2:$K$423,"Đang làm")</x:f>
        <x:v>0</x:v>
      </x:c>
      <x:c r="H44" s="30" t="n">
        <x:f>COUNTIFS('Feature Progress'!$E$2:$E$423,A44,'Feature Progress'!$K$2:$K$423,"Blocked")</x:f>
        <x:v>0</x:v>
      </x:c>
      <x:c r="I44" s="40" t="n">
        <x:f>IF(E44=0,0,F44/E44)</x:f>
        <x:v>0</x:v>
      </x:c>
      <x:c r="J44" s="40" t="n">
        <x:f>IF(E44=0,0,SUMIF('Feature Progress'!$E$2:$E$423,A44,'Feature Progress'!$L$2:$L$423)/E44)</x:f>
        <x:v>0</x:v>
      </x:c>
      <x:c r="K44" s="30" t="n">
        <x:v>5</x:v>
      </x:c>
      <x:c r="L44" s="30" t="n">
        <x:v>1</x:v>
      </x:c>
      <x:c r="M44" s="30" t="n">
        <x:v>0</x:v>
      </x:c>
    </x:row>
    <x:row r="45">
      <x:c r="A45" s="30" t="str">
        <x:v>I-WP12</x:v>
      </x:c>
      <x:c r="B45" s="30" t="str">
        <x:v>Kiên</x:v>
      </x:c>
      <x:c r="C45" s="30" t="str">
        <x:v>M12</x:v>
      </x:c>
      <x:c r="D45" s="30" t="str">
        <x:v>Scan Lifecycle, Event Envelope, Retry &amp; Idempotency</x:v>
      </x:c>
      <x:c r="E45" s="30" t="n">
        <x:f>COUNTIF('Feature Progress'!$E$2:$E$423,A45)</x:f>
        <x:v>5</x:v>
      </x:c>
      <x:c r="F45" s="30" t="n">
        <x:f>COUNTIFS('Feature Progress'!$E$2:$E$423,A45,'Feature Progress'!$J$2:$J$423,"☑")</x:f>
        <x:v>0</x:v>
      </x:c>
      <x:c r="G45" s="30" t="n">
        <x:f>COUNTIFS('Feature Progress'!$E$2:$E$423,A45,'Feature Progress'!$K$2:$K$423,"Đang làm")</x:f>
        <x:v>0</x:v>
      </x:c>
      <x:c r="H45" s="30" t="n">
        <x:f>COUNTIFS('Feature Progress'!$E$2:$E$423,A45,'Feature Progress'!$K$2:$K$423,"Blocked")</x:f>
        <x:v>0</x:v>
      </x:c>
      <x:c r="I45" s="40" t="n">
        <x:f>IF(E45=0,0,F45/E45)</x:f>
        <x:v>0</x:v>
      </x:c>
      <x:c r="J45" s="40" t="n">
        <x:f>IF(E45=0,0,SUMIF('Feature Progress'!$E$2:$E$423,A45,'Feature Progress'!$L$2:$L$423)/E45)</x:f>
        <x:v>0</x:v>
      </x:c>
      <x:c r="K45" s="30" t="n">
        <x:v>5</x:v>
      </x:c>
      <x:c r="L45" s="30" t="n">
        <x:v>0</x:v>
      </x:c>
      <x:c r="M45" s="30" t="n">
        <x:v>0</x:v>
      </x:c>
    </x:row>
    <x:row r="46">
      <x:c r="A46" s="30" t="str">
        <x:v>I-WP13</x:v>
      </x:c>
      <x:c r="B46" s="30" t="str">
        <x:v>Kiên</x:v>
      </x:c>
      <x:c r="C46" s="30" t="str">
        <x:v>M12</x:v>
      </x:c>
      <x:c r="D46" s="30" t="str">
        <x:v>Nested Scan Orchestration &amp; Derived Indicators</x:v>
      </x:c>
      <x:c r="E46" s="30" t="n">
        <x:f>COUNTIF('Feature Progress'!$E$2:$E$423,A46)</x:f>
        <x:v>4</x:v>
      </x:c>
      <x:c r="F46" s="30" t="n">
        <x:f>COUNTIFS('Feature Progress'!$E$2:$E$423,A46,'Feature Progress'!$J$2:$J$423,"☑")</x:f>
        <x:v>0</x:v>
      </x:c>
      <x:c r="G46" s="30" t="n">
        <x:f>COUNTIFS('Feature Progress'!$E$2:$E$423,A46,'Feature Progress'!$K$2:$K$423,"Đang làm")</x:f>
        <x:v>0</x:v>
      </x:c>
      <x:c r="H46" s="30" t="n">
        <x:f>COUNTIFS('Feature Progress'!$E$2:$E$423,A46,'Feature Progress'!$K$2:$K$423,"Blocked")</x:f>
        <x:v>0</x:v>
      </x:c>
      <x:c r="I46" s="40" t="n">
        <x:f>IF(E46=0,0,F46/E46)</x:f>
        <x:v>0</x:v>
      </x:c>
      <x:c r="J46" s="40" t="n">
        <x:f>IF(E46=0,0,SUMIF('Feature Progress'!$E$2:$E$423,A46,'Feature Progress'!$L$2:$L$423)/E46)</x:f>
        <x:v>0</x:v>
      </x:c>
      <x:c r="K46" s="30" t="n">
        <x:v>4</x:v>
      </x:c>
      <x:c r="L46" s="30" t="n">
        <x:v>0</x:v>
      </x:c>
      <x:c r="M46" s="30" t="n">
        <x:v>0</x:v>
      </x:c>
    </x:row>
    <x:row r="47">
      <x:c r="A47" s="30" t="str">
        <x:v>I-WP14</x:v>
      </x:c>
      <x:c r="B47" s="30" t="str">
        <x:v>Kiên</x:v>
      </x:c>
      <x:c r="C47" s="30" t="str">
        <x:v>M12</x:v>
      </x:c>
      <x:c r="D47" s="30" t="str">
        <x:v>AI Task Barrier, Deadline &amp; Race Handling</x:v>
      </x:c>
      <x:c r="E47" s="30" t="n">
        <x:f>COUNTIF('Feature Progress'!$E$2:$E$423,A47)</x:f>
        <x:v>4</x:v>
      </x:c>
      <x:c r="F47" s="30" t="n">
        <x:f>COUNTIFS('Feature Progress'!$E$2:$E$423,A47,'Feature Progress'!$J$2:$J$423,"☑")</x:f>
        <x:v>0</x:v>
      </x:c>
      <x:c r="G47" s="30" t="n">
        <x:f>COUNTIFS('Feature Progress'!$E$2:$E$423,A47,'Feature Progress'!$K$2:$K$423,"Đang làm")</x:f>
        <x:v>0</x:v>
      </x:c>
      <x:c r="H47" s="30" t="n">
        <x:f>COUNTIFS('Feature Progress'!$E$2:$E$423,A47,'Feature Progress'!$K$2:$K$423,"Blocked")</x:f>
        <x:v>0</x:v>
      </x:c>
      <x:c r="I47" s="40" t="n">
        <x:f>IF(E47=0,0,F47/E47)</x:f>
        <x:v>0</x:v>
      </x:c>
      <x:c r="J47" s="40" t="n">
        <x:f>IF(E47=0,0,SUMIF('Feature Progress'!$E$2:$E$423,A47,'Feature Progress'!$L$2:$L$423)/E47)</x:f>
        <x:v>0</x:v>
      </x:c>
      <x:c r="K47" s="30" t="n">
        <x:v>4</x:v>
      </x:c>
      <x:c r="L47" s="30" t="n">
        <x:v>0</x:v>
      </x:c>
      <x:c r="M47" s="30" t="n">
        <x:v>0</x:v>
      </x:c>
    </x:row>
    <x:row r="48">
      <x:c r="A48" s="30" t="str">
        <x:v>I-WP15</x:v>
      </x:c>
      <x:c r="B48" s="30" t="str">
        <x:v>Kiên</x:v>
      </x:c>
      <x:c r="C48" s="30" t="str">
        <x:v>M04</x:v>
      </x:c>
      <x:c r="D48" s="30" t="str">
        <x:v>Phone Reputation Check</x:v>
      </x:c>
      <x:c r="E48" s="30" t="n">
        <x:f>COUNTIF('Feature Progress'!$E$2:$E$423,A48)</x:f>
        <x:v>8</x:v>
      </x:c>
      <x:c r="F48" s="30" t="n">
        <x:f>COUNTIFS('Feature Progress'!$E$2:$E$423,A48,'Feature Progress'!$J$2:$J$423,"☑")</x:f>
        <x:v>0</x:v>
      </x:c>
      <x:c r="G48" s="30" t="n">
        <x:f>COUNTIFS('Feature Progress'!$E$2:$E$423,A48,'Feature Progress'!$K$2:$K$423,"Đang làm")</x:f>
        <x:v>0</x:v>
      </x:c>
      <x:c r="H48" s="30" t="n">
        <x:f>COUNTIFS('Feature Progress'!$E$2:$E$423,A48,'Feature Progress'!$K$2:$K$423,"Blocked")</x:f>
        <x:v>0</x:v>
      </x:c>
      <x:c r="I48" s="40" t="n">
        <x:f>IF(E48=0,0,F48/E48)</x:f>
        <x:v>0</x:v>
      </x:c>
      <x:c r="J48" s="40" t="n">
        <x:f>IF(E48=0,0,SUMIF('Feature Progress'!$E$2:$E$423,A48,'Feature Progress'!$L$2:$L$423)/E48)</x:f>
        <x:v>0</x:v>
      </x:c>
      <x:c r="K48" s="30" t="n">
        <x:v>3</x:v>
      </x:c>
      <x:c r="L48" s="30" t="n">
        <x:v>3</x:v>
      </x:c>
      <x:c r="M48" s="30" t="n">
        <x:v>2</x:v>
      </x:c>
    </x:row>
    <x:row r="49">
      <x:c r="A49" s="30" t="str">
        <x:v>I-WP16</x:v>
      </x:c>
      <x:c r="B49" s="30" t="str">
        <x:v>Kiên</x:v>
      </x:c>
      <x:c r="C49" s="30" t="str">
        <x:v>M04</x:v>
      </x:c>
      <x:c r="D49" s="30" t="str">
        <x:v>Bank Account Reputation Check</x:v>
      </x:c>
      <x:c r="E49" s="30" t="n">
        <x:f>COUNTIF('Feature Progress'!$E$2:$E$423,A49)</x:f>
        <x:v>8</x:v>
      </x:c>
      <x:c r="F49" s="30" t="n">
        <x:f>COUNTIFS('Feature Progress'!$E$2:$E$423,A49,'Feature Progress'!$J$2:$J$423,"☑")</x:f>
        <x:v>0</x:v>
      </x:c>
      <x:c r="G49" s="30" t="n">
        <x:f>COUNTIFS('Feature Progress'!$E$2:$E$423,A49,'Feature Progress'!$K$2:$K$423,"Đang làm")</x:f>
        <x:v>0</x:v>
      </x:c>
      <x:c r="H49" s="30" t="n">
        <x:f>COUNTIFS('Feature Progress'!$E$2:$E$423,A49,'Feature Progress'!$K$2:$K$423,"Blocked")</x:f>
        <x:v>0</x:v>
      </x:c>
      <x:c r="I49" s="40" t="n">
        <x:f>IF(E49=0,0,F49/E49)</x:f>
        <x:v>0</x:v>
      </x:c>
      <x:c r="J49" s="40" t="n">
        <x:f>IF(E49=0,0,SUMIF('Feature Progress'!$E$2:$E$423,A49,'Feature Progress'!$L$2:$L$423)/E49)</x:f>
        <x:v>0</x:v>
      </x:c>
      <x:c r="K49" s="30" t="n">
        <x:v>3</x:v>
      </x:c>
      <x:c r="L49" s="30" t="n">
        <x:v>3</x:v>
      </x:c>
      <x:c r="M49" s="30" t="n">
        <x:v>2</x:v>
      </x:c>
    </x:row>
    <x:row r="50">
      <x:c r="A50" s="30" t="str">
        <x:v>I-WP17</x:v>
      </x:c>
      <x:c r="B50" s="30" t="str">
        <x:v>Kiên</x:v>
      </x:c>
      <x:c r="C50" s="30" t="str">
        <x:v>M04</x:v>
      </x:c>
      <x:c r="D50" s="30" t="str">
        <x:v>Unified Entity Scan Contract &amp; NO_DATA Semantics</x:v>
      </x:c>
      <x:c r="E50" s="30" t="n">
        <x:f>COUNTIF('Feature Progress'!$E$2:$E$423,A50)</x:f>
        <x:v>2</x:v>
      </x:c>
      <x:c r="F50" s="30" t="n">
        <x:f>COUNTIFS('Feature Progress'!$E$2:$E$423,A50,'Feature Progress'!$J$2:$J$423,"☑")</x:f>
        <x:v>0</x:v>
      </x:c>
      <x:c r="G50" s="30" t="n">
        <x:f>COUNTIFS('Feature Progress'!$E$2:$E$423,A50,'Feature Progress'!$K$2:$K$423,"Đang làm")</x:f>
        <x:v>0</x:v>
      </x:c>
      <x:c r="H50" s="30" t="n">
        <x:f>COUNTIFS('Feature Progress'!$E$2:$E$423,A50,'Feature Progress'!$K$2:$K$423,"Blocked")</x:f>
        <x:v>0</x:v>
      </x:c>
      <x:c r="I50" s="40" t="n">
        <x:f>IF(E50=0,0,F50/E50)</x:f>
        <x:v>0</x:v>
      </x:c>
      <x:c r="J50" s="40" t="n">
        <x:f>IF(E50=0,0,SUMIF('Feature Progress'!$E$2:$E$423,A50,'Feature Progress'!$L$2:$L$423)/E50)</x:f>
        <x:v>0</x:v>
      </x:c>
      <x:c r="K50" s="30" t="n">
        <x:v>2</x:v>
      </x:c>
      <x:c r="L50" s="30" t="n">
        <x:v>0</x:v>
      </x:c>
      <x:c r="M50" s="30" t="n">
        <x:v>0</x:v>
      </x:c>
    </x:row>
    <x:row r="51">
      <x:c r="A51" s="30" t="str">
        <x:v>T-WP01</x:v>
      </x:c>
      <x:c r="B51" s="30" t="str">
        <x:v>Thắng</x:v>
      </x:c>
      <x:c r="C51" s="30" t="str">
        <x:v>M03</x:v>
      </x:c>
      <x:c r="D51" s="30" t="str">
        <x:v>Vietnamese Text Normalization &amp; Evasion Handling</x:v>
      </x:c>
      <x:c r="E51" s="30" t="n">
        <x:f>COUNTIF('Feature Progress'!$E$2:$E$423,A51)</x:f>
        <x:v>7</x:v>
      </x:c>
      <x:c r="F51" s="30" t="n">
        <x:f>COUNTIFS('Feature Progress'!$E$2:$E$423,A51,'Feature Progress'!$J$2:$J$423,"☑")</x:f>
        <x:v>0</x:v>
      </x:c>
      <x:c r="G51" s="30" t="n">
        <x:f>COUNTIFS('Feature Progress'!$E$2:$E$423,A51,'Feature Progress'!$K$2:$K$423,"Đang làm")</x:f>
        <x:v>0</x:v>
      </x:c>
      <x:c r="H51" s="30" t="n">
        <x:f>COUNTIFS('Feature Progress'!$E$2:$E$423,A51,'Feature Progress'!$K$2:$K$423,"Blocked")</x:f>
        <x:v>0</x:v>
      </x:c>
      <x:c r="I51" s="40" t="n">
        <x:f>IF(E51=0,0,F51/E51)</x:f>
        <x:v>0</x:v>
      </x:c>
      <x:c r="J51" s="40" t="n">
        <x:f>IF(E51=0,0,SUMIF('Feature Progress'!$E$2:$E$423,A51,'Feature Progress'!$L$2:$L$423)/E51)</x:f>
        <x:v>0</x:v>
      </x:c>
      <x:c r="K51" s="30" t="n">
        <x:v>3</x:v>
      </x:c>
      <x:c r="L51" s="30" t="n">
        <x:v>2</x:v>
      </x:c>
      <x:c r="M51" s="30" t="n">
        <x:v>2</x:v>
      </x:c>
    </x:row>
    <x:row r="52">
      <x:c r="A52" s="30" t="str">
        <x:v>T-WP02</x:v>
      </x:c>
      <x:c r="B52" s="30" t="str">
        <x:v>Thắng</x:v>
      </x:c>
      <x:c r="C52" s="30" t="str">
        <x:v>M03</x:v>
      </x:c>
      <x:c r="D52" s="30" t="str">
        <x:v>Async Text Scan, Scam Patterns &amp; User Result UX</x:v>
      </x:c>
      <x:c r="E52" s="30" t="n">
        <x:f>COUNTIF('Feature Progress'!$E$2:$E$423,A52)</x:f>
        <x:v>8</x:v>
      </x:c>
      <x:c r="F52" s="30" t="n">
        <x:f>COUNTIFS('Feature Progress'!$E$2:$E$423,A52,'Feature Progress'!$J$2:$J$423,"☑")</x:f>
        <x:v>0</x:v>
      </x:c>
      <x:c r="G52" s="30" t="n">
        <x:f>COUNTIFS('Feature Progress'!$E$2:$E$423,A52,'Feature Progress'!$K$2:$K$423,"Đang làm")</x:f>
        <x:v>0</x:v>
      </x:c>
      <x:c r="H52" s="30" t="n">
        <x:f>COUNTIFS('Feature Progress'!$E$2:$E$423,A52,'Feature Progress'!$K$2:$K$423,"Blocked")</x:f>
        <x:v>0</x:v>
      </x:c>
      <x:c r="I52" s="40" t="n">
        <x:f>IF(E52=0,0,F52/E52)</x:f>
        <x:v>0</x:v>
      </x:c>
      <x:c r="J52" s="40" t="n">
        <x:f>IF(E52=0,0,SUMIF('Feature Progress'!$E$2:$E$423,A52,'Feature Progress'!$L$2:$L$423)/E52)</x:f>
        <x:v>0</x:v>
      </x:c>
      <x:c r="K52" s="30" t="n">
        <x:v>4</x:v>
      </x:c>
      <x:c r="L52" s="30" t="n">
        <x:v>2</x:v>
      </x:c>
      <x:c r="M52" s="30" t="n">
        <x:v>2</x:v>
      </x:c>
    </x:row>
    <x:row r="53">
      <x:c r="A53" s="30" t="str">
        <x:v>T-WP03</x:v>
      </x:c>
      <x:c r="B53" s="30" t="str">
        <x:v>Thắng</x:v>
      </x:c>
      <x:c r="C53" s="30" t="str">
        <x:v>M03</x:v>
      </x:c>
      <x:c r="D53" s="30" t="str">
        <x:v>Entity Extraction from Text</x:v>
      </x:c>
      <x:c r="E53" s="30" t="n">
        <x:f>COUNTIF('Feature Progress'!$E$2:$E$423,A53)</x:f>
        <x:v>8</x:v>
      </x:c>
      <x:c r="F53" s="30" t="n">
        <x:f>COUNTIFS('Feature Progress'!$E$2:$E$423,A53,'Feature Progress'!$J$2:$J$423,"☑")</x:f>
        <x:v>0</x:v>
      </x:c>
      <x:c r="G53" s="30" t="n">
        <x:f>COUNTIFS('Feature Progress'!$E$2:$E$423,A53,'Feature Progress'!$K$2:$K$423,"Đang làm")</x:f>
        <x:v>0</x:v>
      </x:c>
      <x:c r="H53" s="30" t="n">
        <x:f>COUNTIFS('Feature Progress'!$E$2:$E$423,A53,'Feature Progress'!$K$2:$K$423,"Blocked")</x:f>
        <x:v>0</x:v>
      </x:c>
      <x:c r="I53" s="40" t="n">
        <x:f>IF(E53=0,0,F53/E53)</x:f>
        <x:v>0</x:v>
      </x:c>
      <x:c r="J53" s="40" t="n">
        <x:f>IF(E53=0,0,SUMIF('Feature Progress'!$E$2:$E$423,A53,'Feature Progress'!$L$2:$L$423)/E53)</x:f>
        <x:v>0</x:v>
      </x:c>
      <x:c r="K53" s="30" t="n">
        <x:v>5</x:v>
      </x:c>
      <x:c r="L53" s="30" t="n">
        <x:v>2</x:v>
      </x:c>
      <x:c r="M53" s="30" t="n">
        <x:v>1</x:v>
      </x:c>
    </x:row>
    <x:row r="54">
      <x:c r="A54" s="30" t="str">
        <x:v>T-WP04</x:v>
      </x:c>
      <x:c r="B54" s="30" t="str">
        <x:v>Thắng</x:v>
      </x:c>
      <x:c r="C54" s="30" t="str">
        <x:v>M03</x:v>
      </x:c>
      <x:c r="D54" s="30" t="str">
        <x:v>Scam Taxonomy &amp; User-facing Classification</x:v>
      </x:c>
      <x:c r="E54" s="30" t="n">
        <x:f>COUNTIF('Feature Progress'!$E$2:$E$423,A54)</x:f>
        <x:v>7</x:v>
      </x:c>
      <x:c r="F54" s="30" t="n">
        <x:f>COUNTIFS('Feature Progress'!$E$2:$E$423,A54,'Feature Progress'!$J$2:$J$423,"☑")</x:f>
        <x:v>0</x:v>
      </x:c>
      <x:c r="G54" s="30" t="n">
        <x:f>COUNTIFS('Feature Progress'!$E$2:$E$423,A54,'Feature Progress'!$K$2:$K$423,"Đang làm")</x:f>
        <x:v>0</x:v>
      </x:c>
      <x:c r="H54" s="30" t="n">
        <x:f>COUNTIFS('Feature Progress'!$E$2:$E$423,A54,'Feature Progress'!$K$2:$K$423,"Blocked")</x:f>
        <x:v>0</x:v>
      </x:c>
      <x:c r="I54" s="40" t="n">
        <x:f>IF(E54=0,0,F54/E54)</x:f>
        <x:v>0</x:v>
      </x:c>
      <x:c r="J54" s="40" t="n">
        <x:f>IF(E54=0,0,SUMIF('Feature Progress'!$E$2:$E$423,A54,'Feature Progress'!$L$2:$L$423)/E54)</x:f>
        <x:v>0</x:v>
      </x:c>
      <x:c r="K54" s="30" t="n">
        <x:v>1</x:v>
      </x:c>
      <x:c r="L54" s="30" t="n">
        <x:v>3</x:v>
      </x:c>
      <x:c r="M54" s="30" t="n">
        <x:v>3</x:v>
      </x:c>
    </x:row>
    <x:row r="55">
      <x:c r="A55" s="30" t="str">
        <x:v>T-WP05</x:v>
      </x:c>
      <x:c r="B55" s="30" t="str">
        <x:v>Thắng</x:v>
      </x:c>
      <x:c r="C55" s="30" t="str">
        <x:v>M03</x:v>
      </x:c>
      <x:c r="D55" s="30" t="str">
        <x:v>Keyword Dictionary Administration</x:v>
      </x:c>
      <x:c r="E55" s="30" t="n">
        <x:f>COUNTIF('Feature Progress'!$E$2:$E$423,A55)</x:f>
        <x:v>7</x:v>
      </x:c>
      <x:c r="F55" s="30" t="n">
        <x:f>COUNTIFS('Feature Progress'!$E$2:$E$423,A55,'Feature Progress'!$J$2:$J$423,"☑")</x:f>
        <x:v>0</x:v>
      </x:c>
      <x:c r="G55" s="30" t="n">
        <x:f>COUNTIFS('Feature Progress'!$E$2:$E$423,A55,'Feature Progress'!$K$2:$K$423,"Đang làm")</x:f>
        <x:v>0</x:v>
      </x:c>
      <x:c r="H55" s="30" t="n">
        <x:f>COUNTIFS('Feature Progress'!$E$2:$E$423,A55,'Feature Progress'!$K$2:$K$423,"Blocked")</x:f>
        <x:v>0</x:v>
      </x:c>
      <x:c r="I55" s="40" t="n">
        <x:f>IF(E55=0,0,F55/E55)</x:f>
        <x:v>0</x:v>
      </x:c>
      <x:c r="J55" s="40" t="n">
        <x:f>IF(E55=0,0,SUMIF('Feature Progress'!$E$2:$E$423,A55,'Feature Progress'!$L$2:$L$423)/E55)</x:f>
        <x:v>0</x:v>
      </x:c>
      <x:c r="K55" s="30" t="n">
        <x:v>1</x:v>
      </x:c>
      <x:c r="L55" s="30" t="n">
        <x:v>3</x:v>
      </x:c>
      <x:c r="M55" s="30" t="n">
        <x:v>3</x:v>
      </x:c>
    </x:row>
    <x:row r="56">
      <x:c r="A56" s="30" t="str">
        <x:v>T-WP06</x:v>
      </x:c>
      <x:c r="B56" s="30" t="str">
        <x:v>Thắng</x:v>
      </x:c>
      <x:c r="C56" s="30" t="str">
        <x:v>M03</x:v>
      </x:c>
      <x:c r="D56" s="30" t="str">
        <x:v>Multi-turn Conversation Analysis</x:v>
      </x:c>
      <x:c r="E56" s="30" t="n">
        <x:f>COUNTIF('Feature Progress'!$E$2:$E$423,A56)</x:f>
        <x:v>6</x:v>
      </x:c>
      <x:c r="F56" s="30" t="n">
        <x:f>COUNTIFS('Feature Progress'!$E$2:$E$423,A56,'Feature Progress'!$J$2:$J$423,"☑")</x:f>
        <x:v>0</x:v>
      </x:c>
      <x:c r="G56" s="30" t="n">
        <x:f>COUNTIFS('Feature Progress'!$E$2:$E$423,A56,'Feature Progress'!$K$2:$K$423,"Đang làm")</x:f>
        <x:v>0</x:v>
      </x:c>
      <x:c r="H56" s="30" t="n">
        <x:f>COUNTIFS('Feature Progress'!$E$2:$E$423,A56,'Feature Progress'!$K$2:$K$423,"Blocked")</x:f>
        <x:v>0</x:v>
      </x:c>
      <x:c r="I56" s="40" t="n">
        <x:f>IF(E56=0,0,F56/E56)</x:f>
        <x:v>0</x:v>
      </x:c>
      <x:c r="J56" s="40" t="n">
        <x:f>IF(E56=0,0,SUMIF('Feature Progress'!$E$2:$E$423,A56,'Feature Progress'!$L$2:$L$423)/E56)</x:f>
        <x:v>0</x:v>
      </x:c>
      <x:c r="K56" s="30" t="n">
        <x:v>0</x:v>
      </x:c>
      <x:c r="L56" s="30" t="n">
        <x:v>3</x:v>
      </x:c>
      <x:c r="M56" s="30" t="n">
        <x:v>3</x:v>
      </x:c>
    </x:row>
    <x:row r="57">
      <x:c r="A57" s="30" t="str">
        <x:v>T-WP07</x:v>
      </x:c>
      <x:c r="B57" s="30" t="str">
        <x:v>Thắng</x:v>
      </x:c>
      <x:c r="C57" s="30" t="str">
        <x:v>M03</x:v>
      </x:c>
      <x:c r="D57" s="30" t="str">
        <x:v>Text Input Privacy &amp; Worker Contract</x:v>
      </x:c>
      <x:c r="E57" s="30" t="n">
        <x:f>COUNTIF('Feature Progress'!$E$2:$E$423,A57)</x:f>
        <x:v>5</x:v>
      </x:c>
      <x:c r="F57" s="30" t="n">
        <x:f>COUNTIFS('Feature Progress'!$E$2:$E$423,A57,'Feature Progress'!$J$2:$J$423,"☑")</x:f>
        <x:v>0</x:v>
      </x:c>
      <x:c r="G57" s="30" t="n">
        <x:f>COUNTIFS('Feature Progress'!$E$2:$E$423,A57,'Feature Progress'!$K$2:$K$423,"Đang làm")</x:f>
        <x:v>0</x:v>
      </x:c>
      <x:c r="H57" s="30" t="n">
        <x:f>COUNTIFS('Feature Progress'!$E$2:$E$423,A57,'Feature Progress'!$K$2:$K$423,"Blocked")</x:f>
        <x:v>0</x:v>
      </x:c>
      <x:c r="I57" s="40" t="n">
        <x:f>IF(E57=0,0,F57/E57)</x:f>
        <x:v>0</x:v>
      </x:c>
      <x:c r="J57" s="40" t="n">
        <x:f>IF(E57=0,0,SUMIF('Feature Progress'!$E$2:$E$423,A57,'Feature Progress'!$L$2:$L$423)/E57)</x:f>
        <x:v>0</x:v>
      </x:c>
      <x:c r="K57" s="30" t="n">
        <x:v>4</x:v>
      </x:c>
      <x:c r="L57" s="30" t="n">
        <x:v>1</x:v>
      </x:c>
      <x:c r="M57" s="30" t="n">
        <x:v>0</x:v>
      </x:c>
    </x:row>
    <x:row r="58">
      <x:c r="A58" s="30" t="str">
        <x:v>T-WP08</x:v>
      </x:c>
      <x:c r="B58" s="30" t="str">
        <x:v>Thắng</x:v>
      </x:c>
      <x:c r="C58" s="30" t="str">
        <x:v>M05</x:v>
      </x:c>
      <x:c r="D58" s="30" t="str">
        <x:v>QR/VietQR Decode, Classification &amp; Nested Routing</x:v>
      </x:c>
      <x:c r="E58" s="30" t="n">
        <x:f>COUNTIF('Feature Progress'!$E$2:$E$423,A58)</x:f>
        <x:v>8</x:v>
      </x:c>
      <x:c r="F58" s="30" t="n">
        <x:f>COUNTIFS('Feature Progress'!$E$2:$E$423,A58,'Feature Progress'!$J$2:$J$423,"☑")</x:f>
        <x:v>0</x:v>
      </x:c>
      <x:c r="G58" s="30" t="n">
        <x:f>COUNTIFS('Feature Progress'!$E$2:$E$423,A58,'Feature Progress'!$K$2:$K$423,"Đang làm")</x:f>
        <x:v>0</x:v>
      </x:c>
      <x:c r="H58" s="30" t="n">
        <x:f>COUNTIFS('Feature Progress'!$E$2:$E$423,A58,'Feature Progress'!$K$2:$K$423,"Blocked")</x:f>
        <x:v>0</x:v>
      </x:c>
      <x:c r="I58" s="40" t="n">
        <x:f>IF(E58=0,0,F58/E58)</x:f>
        <x:v>0</x:v>
      </x:c>
      <x:c r="J58" s="40" t="n">
        <x:f>IF(E58=0,0,SUMIF('Feature Progress'!$E$2:$E$423,A58,'Feature Progress'!$L$2:$L$423)/E58)</x:f>
        <x:v>0</x:v>
      </x:c>
      <x:c r="K58" s="30" t="n">
        <x:v>7</x:v>
      </x:c>
      <x:c r="L58" s="30" t="n">
        <x:v>1</x:v>
      </x:c>
      <x:c r="M58" s="30" t="n">
        <x:v>0</x:v>
      </x:c>
    </x:row>
    <x:row r="59">
      <x:c r="A59" s="30" t="str">
        <x:v>T-WP09</x:v>
      </x:c>
      <x:c r="B59" s="30" t="str">
        <x:v>Thắng</x:v>
      </x:c>
      <x:c r="C59" s="30" t="str">
        <x:v>M05</x:v>
      </x:c>
      <x:c r="D59" s="30" t="str">
        <x:v>Advanced QR Safety Checks</x:v>
      </x:c>
      <x:c r="E59" s="30" t="n">
        <x:f>COUNTIF('Feature Progress'!$E$2:$E$423,A59)</x:f>
        <x:v>2</x:v>
      </x:c>
      <x:c r="F59" s="30" t="n">
        <x:f>COUNTIFS('Feature Progress'!$E$2:$E$423,A59,'Feature Progress'!$J$2:$J$423,"☑")</x:f>
        <x:v>0</x:v>
      </x:c>
      <x:c r="G59" s="30" t="n">
        <x:f>COUNTIFS('Feature Progress'!$E$2:$E$423,A59,'Feature Progress'!$K$2:$K$423,"Đang làm")</x:f>
        <x:v>0</x:v>
      </x:c>
      <x:c r="H59" s="30" t="n">
        <x:f>COUNTIFS('Feature Progress'!$E$2:$E$423,A59,'Feature Progress'!$K$2:$K$423,"Blocked")</x:f>
        <x:v>0</x:v>
      </x:c>
      <x:c r="I59" s="40" t="n">
        <x:f>IF(E59=0,0,F59/E59)</x:f>
        <x:v>0</x:v>
      </x:c>
      <x:c r="J59" s="40" t="n">
        <x:f>IF(E59=0,0,SUMIF('Feature Progress'!$E$2:$E$423,A59,'Feature Progress'!$L$2:$L$423)/E59)</x:f>
        <x:v>0</x:v>
      </x:c>
      <x:c r="K59" s="30" t="n">
        <x:v>0</x:v>
      </x:c>
      <x:c r="L59" s="30" t="n">
        <x:v>0</x:v>
      </x:c>
      <x:c r="M59" s="30" t="n">
        <x:v>2</x:v>
      </x:c>
    </x:row>
    <x:row r="60">
      <x:c r="A60" s="30" t="str">
        <x:v>T-WP10</x:v>
      </x:c>
      <x:c r="B60" s="30" t="str">
        <x:v>Thắng</x:v>
      </x:c>
      <x:c r="C60" s="30" t="str">
        <x:v>M06</x:v>
      </x:c>
      <x:c r="D60" s="30" t="str">
        <x:v>History Query, Access Control &amp; Pagination</x:v>
      </x:c>
      <x:c r="E60" s="30" t="n">
        <x:f>COUNTIF('Feature Progress'!$E$2:$E$423,A60)</x:f>
        <x:v>4</x:v>
      </x:c>
      <x:c r="F60" s="30" t="n">
        <x:f>COUNTIFS('Feature Progress'!$E$2:$E$423,A60,'Feature Progress'!$J$2:$J$423,"☑")</x:f>
        <x:v>0</x:v>
      </x:c>
      <x:c r="G60" s="30" t="n">
        <x:f>COUNTIFS('Feature Progress'!$E$2:$E$423,A60,'Feature Progress'!$K$2:$K$423,"Đang làm")</x:f>
        <x:v>0</x:v>
      </x:c>
      <x:c r="H60" s="30" t="n">
        <x:f>COUNTIFS('Feature Progress'!$E$2:$E$423,A60,'Feature Progress'!$K$2:$K$423,"Blocked")</x:f>
        <x:v>0</x:v>
      </x:c>
      <x:c r="I60" s="40" t="n">
        <x:f>IF(E60=0,0,F60/E60)</x:f>
        <x:v>0</x:v>
      </x:c>
      <x:c r="J60" s="40" t="n">
        <x:f>IF(E60=0,0,SUMIF('Feature Progress'!$E$2:$E$423,A60,'Feature Progress'!$L$2:$L$423)/E60)</x:f>
        <x:v>0</x:v>
      </x:c>
      <x:c r="K60" s="30" t="n">
        <x:v>3</x:v>
      </x:c>
      <x:c r="L60" s="30" t="n">
        <x:v>1</x:v>
      </x:c>
      <x:c r="M60" s="30" t="n">
        <x:v>0</x:v>
      </x:c>
    </x:row>
    <x:row r="61">
      <x:c r="A61" s="30" t="str">
        <x:v>T-WP11</x:v>
      </x:c>
      <x:c r="B61" s="30" t="str">
        <x:v>Thắng</x:v>
      </x:c>
      <x:c r="C61" s="30" t="str">
        <x:v>M06</x:v>
      </x:c>
      <x:c r="D61" s="30" t="str">
        <x:v>History Retention &amp; User Management</x:v>
      </x:c>
      <x:c r="E61" s="30" t="n">
        <x:f>COUNTIF('Feature Progress'!$E$2:$E$423,A61)</x:f>
        <x:v>6</x:v>
      </x:c>
      <x:c r="F61" s="30" t="n">
        <x:f>COUNTIFS('Feature Progress'!$E$2:$E$423,A61,'Feature Progress'!$J$2:$J$423,"☑")</x:f>
        <x:v>0</x:v>
      </x:c>
      <x:c r="G61" s="30" t="n">
        <x:f>COUNTIFS('Feature Progress'!$E$2:$E$423,A61,'Feature Progress'!$K$2:$K$423,"Đang làm")</x:f>
        <x:v>0</x:v>
      </x:c>
      <x:c r="H61" s="30" t="n">
        <x:f>COUNTIFS('Feature Progress'!$E$2:$E$423,A61,'Feature Progress'!$K$2:$K$423,"Blocked")</x:f>
        <x:v>0</x:v>
      </x:c>
      <x:c r="I61" s="40" t="n">
        <x:f>IF(E61=0,0,F61/E61)</x:f>
        <x:v>0</x:v>
      </x:c>
      <x:c r="J61" s="40" t="n">
        <x:f>IF(E61=0,0,SUMIF('Feature Progress'!$E$2:$E$423,A61,'Feature Progress'!$L$2:$L$423)/E61)</x:f>
        <x:v>0</x:v>
      </x:c>
      <x:c r="K61" s="30" t="n">
        <x:v>1</x:v>
      </x:c>
      <x:c r="L61" s="30" t="n">
        <x:v>3</x:v>
      </x:c>
      <x:c r="M61" s="30" t="n">
        <x:v>2</x:v>
      </x:c>
    </x:row>
    <x:row r="62">
      <x:c r="A62" s="30" t="str">
        <x:v>T-WP12</x:v>
      </x:c>
      <x:c r="B62" s="30" t="str">
        <x:v>Thắng</x:v>
      </x:c>
      <x:c r="C62" s="30" t="str">
        <x:v>M06</x:v>
      </x:c>
      <x:c r="D62" s="30" t="str">
        <x:v>RiskResult Contract &amp; Presentation Components</x:v>
      </x:c>
      <x:c r="E62" s="30" t="n">
        <x:f>COUNTIF('Feature Progress'!$E$2:$E$423,A62)</x:f>
        <x:v>5</x:v>
      </x:c>
      <x:c r="F62" s="30" t="n">
        <x:f>COUNTIFS('Feature Progress'!$E$2:$E$423,A62,'Feature Progress'!$J$2:$J$423,"☑")</x:f>
        <x:v>0</x:v>
      </x:c>
      <x:c r="G62" s="30" t="n">
        <x:f>COUNTIFS('Feature Progress'!$E$2:$E$423,A62,'Feature Progress'!$K$2:$K$423,"Đang làm")</x:f>
        <x:v>0</x:v>
      </x:c>
      <x:c r="H62" s="30" t="n">
        <x:f>COUNTIFS('Feature Progress'!$E$2:$E$423,A62,'Feature Progress'!$K$2:$K$423,"Blocked")</x:f>
        <x:v>0</x:v>
      </x:c>
      <x:c r="I62" s="40" t="n">
        <x:f>IF(E62=0,0,F62/E62)</x:f>
        <x:v>0</x:v>
      </x:c>
      <x:c r="J62" s="40" t="n">
        <x:f>IF(E62=0,0,SUMIF('Feature Progress'!$E$2:$E$423,A62,'Feature Progress'!$L$2:$L$423)/E62)</x:f>
        <x:v>0</x:v>
      </x:c>
      <x:c r="K62" s="30" t="n">
        <x:v>3</x:v>
      </x:c>
      <x:c r="L62" s="30" t="n">
        <x:v>2</x:v>
      </x:c>
      <x:c r="M62" s="30" t="n">
        <x:v>0</x:v>
      </x:c>
    </x:row>
    <x:row r="63">
      <x:c r="A63" s="30" t="str">
        <x:v>T-WP13</x:v>
      </x:c>
      <x:c r="B63" s="30" t="str">
        <x:v>Thắng</x:v>
      </x:c>
      <x:c r="C63" s="30" t="str">
        <x:v>M06</x:v>
      </x:c>
      <x:c r="D63" s="30" t="str">
        <x:v>Result Sharing &amp; External Consumption</x:v>
      </x:c>
      <x:c r="E63" s="30" t="n">
        <x:f>COUNTIF('Feature Progress'!$E$2:$E$423,A63)</x:f>
        <x:v>3</x:v>
      </x:c>
      <x:c r="F63" s="30" t="n">
        <x:f>COUNTIFS('Feature Progress'!$E$2:$E$423,A63,'Feature Progress'!$J$2:$J$423,"☑")</x:f>
        <x:v>0</x:v>
      </x:c>
      <x:c r="G63" s="30" t="n">
        <x:f>COUNTIFS('Feature Progress'!$E$2:$E$423,A63,'Feature Progress'!$K$2:$K$423,"Đang làm")</x:f>
        <x:v>0</x:v>
      </x:c>
      <x:c r="H63" s="30" t="n">
        <x:f>COUNTIFS('Feature Progress'!$E$2:$E$423,A63,'Feature Progress'!$K$2:$K$423,"Blocked")</x:f>
        <x:v>0</x:v>
      </x:c>
      <x:c r="I63" s="40" t="n">
        <x:f>IF(E63=0,0,F63/E63)</x:f>
        <x:v>0</x:v>
      </x:c>
      <x:c r="J63" s="40" t="n">
        <x:f>IF(E63=0,0,SUMIF('Feature Progress'!$E$2:$E$423,A63,'Feature Progress'!$L$2:$L$423)/E63)</x:f>
        <x:v>0</x:v>
      </x:c>
      <x:c r="K63" s="30" t="n">
        <x:v>0</x:v>
      </x:c>
      <x:c r="L63" s="30" t="n">
        <x:v>1</x:v>
      </x:c>
      <x:c r="M63" s="30" t="n">
        <x:v>2</x:v>
      </x:c>
    </x:row>
    <x:row r="64">
      <x:c r="A64" s="30" t="str">
        <x:v>T-WP14</x:v>
      </x:c>
      <x:c r="B64" s="30" t="str">
        <x:v>Thắng</x:v>
      </x:c>
      <x:c r="C64" s="30" t="str">
        <x:v>M06</x:v>
      </x:c>
      <x:c r="D64" s="30" t="str">
        <x:v>Async Export &amp; Admin Reporting</x:v>
      </x:c>
      <x:c r="E64" s="30" t="n">
        <x:f>COUNTIF('Feature Progress'!$E$2:$E$423,A64)</x:f>
        <x:v>3</x:v>
      </x:c>
      <x:c r="F64" s="30" t="n">
        <x:f>COUNTIFS('Feature Progress'!$E$2:$E$423,A64,'Feature Progress'!$J$2:$J$423,"☑")</x:f>
        <x:v>0</x:v>
      </x:c>
      <x:c r="G64" s="30" t="n">
        <x:f>COUNTIFS('Feature Progress'!$E$2:$E$423,A64,'Feature Progress'!$K$2:$K$423,"Đang làm")</x:f>
        <x:v>0</x:v>
      </x:c>
      <x:c r="H64" s="30" t="n">
        <x:f>COUNTIFS('Feature Progress'!$E$2:$E$423,A64,'Feature Progress'!$K$2:$K$423,"Blocked")</x:f>
        <x:v>0</x:v>
      </x:c>
      <x:c r="I64" s="40" t="n">
        <x:f>IF(E64=0,0,F64/E64)</x:f>
        <x:v>0</x:v>
      </x:c>
      <x:c r="J64" s="40" t="n">
        <x:f>IF(E64=0,0,SUMIF('Feature Progress'!$E$2:$E$423,A64,'Feature Progress'!$L$2:$L$423)/E64)</x:f>
        <x:v>0</x:v>
      </x:c>
      <x:c r="K64" s="30" t="n">
        <x:v>0</x:v>
      </x:c>
      <x:c r="L64" s="30" t="n">
        <x:v>2</x:v>
      </x:c>
      <x:c r="M64" s="30" t="n">
        <x:v>1</x:v>
      </x:c>
    </x:row>
    <x:row r="65">
      <x:c r="A65" s="30" t="str">
        <x:v>T-WP15</x:v>
      </x:c>
      <x:c r="B65" s="30" t="str">
        <x:v>Thắng</x:v>
      </x:c>
      <x:c r="C65" s="30" t="str">
        <x:v>M11</x:v>
      </x:c>
      <x:c r="D65" s="30" t="str">
        <x:v>AI Task/Result Contract &amp; Worker Core</x:v>
      </x:c>
      <x:c r="E65" s="30" t="n">
        <x:f>COUNTIF('Feature Progress'!$E$2:$E$423,A65)</x:f>
        <x:v>8</x:v>
      </x:c>
      <x:c r="F65" s="30" t="n">
        <x:f>COUNTIFS('Feature Progress'!$E$2:$E$423,A65,'Feature Progress'!$J$2:$J$423,"☑")</x:f>
        <x:v>0</x:v>
      </x:c>
      <x:c r="G65" s="30" t="n">
        <x:f>COUNTIFS('Feature Progress'!$E$2:$E$423,A65,'Feature Progress'!$K$2:$K$423,"Đang làm")</x:f>
        <x:v>0</x:v>
      </x:c>
      <x:c r="H65" s="30" t="n">
        <x:f>COUNTIFS('Feature Progress'!$E$2:$E$423,A65,'Feature Progress'!$K$2:$K$423,"Blocked")</x:f>
        <x:v>0</x:v>
      </x:c>
      <x:c r="I65" s="40" t="n">
        <x:f>IF(E65=0,0,F65/E65)</x:f>
        <x:v>0</x:v>
      </x:c>
      <x:c r="J65" s="40" t="n">
        <x:f>IF(E65=0,0,SUMIF('Feature Progress'!$E$2:$E$423,A65,'Feature Progress'!$L$2:$L$423)/E65)</x:f>
        <x:v>0</x:v>
      </x:c>
      <x:c r="K65" s="30" t="n">
        <x:v>5</x:v>
      </x:c>
      <x:c r="L65" s="30" t="n">
        <x:v>3</x:v>
      </x:c>
      <x:c r="M65" s="30" t="n">
        <x:v>0</x:v>
      </x:c>
    </x:row>
    <x:row r="66">
      <x:c r="A66" s="30" t="str">
        <x:v>T-WP16</x:v>
      </x:c>
      <x:c r="B66" s="30" t="str">
        <x:v>Thắng</x:v>
      </x:c>
      <x:c r="C66" s="30" t="str">
        <x:v>M11</x:v>
      </x:c>
      <x:c r="D66" s="30" t="str">
        <x:v>AI Provider Resolver &amp; Adapter Registry</x:v>
      </x:c>
      <x:c r="E66" s="30" t="n">
        <x:f>COUNTIF('Feature Progress'!$E$2:$E$423,A66)</x:f>
        <x:v>3</x:v>
      </x:c>
      <x:c r="F66" s="30" t="n">
        <x:f>COUNTIFS('Feature Progress'!$E$2:$E$423,A66,'Feature Progress'!$J$2:$J$423,"☑")</x:f>
        <x:v>0</x:v>
      </x:c>
      <x:c r="G66" s="30" t="n">
        <x:f>COUNTIFS('Feature Progress'!$E$2:$E$423,A66,'Feature Progress'!$K$2:$K$423,"Đang làm")</x:f>
        <x:v>0</x:v>
      </x:c>
      <x:c r="H66" s="30" t="n">
        <x:f>COUNTIFS('Feature Progress'!$E$2:$E$423,A66,'Feature Progress'!$K$2:$K$423,"Blocked")</x:f>
        <x:v>0</x:v>
      </x:c>
      <x:c r="I66" s="40" t="n">
        <x:f>IF(E66=0,0,F66/E66)</x:f>
        <x:v>0</x:v>
      </x:c>
      <x:c r="J66" s="40" t="n">
        <x:f>IF(E66=0,0,SUMIF('Feature Progress'!$E$2:$E$423,A66,'Feature Progress'!$L$2:$L$423)/E66)</x:f>
        <x:v>0</x:v>
      </x:c>
      <x:c r="K66" s="30" t="n">
        <x:v>1</x:v>
      </x:c>
      <x:c r="L66" s="30" t="n">
        <x:v>1</x:v>
      </x:c>
      <x:c r="M66" s="30" t="n">
        <x:v>1</x:v>
      </x:c>
    </x:row>
    <x:row r="67">
      <x:c r="A67" s="30" t="str">
        <x:v>T-WP17</x:v>
      </x:c>
      <x:c r="B67" s="30" t="str">
        <x:v>Thắng</x:v>
      </x:c>
      <x:c r="C67" s="30" t="str">
        <x:v>M11</x:v>
      </x:c>
      <x:c r="D67" s="30" t="str">
        <x:v>AI Safety, Prompt/Output Guardrails &amp; Cache Options</x:v>
      </x:c>
      <x:c r="E67" s="30" t="n">
        <x:f>COUNTIF('Feature Progress'!$E$2:$E$423,A67)</x:f>
        <x:v>2</x:v>
      </x:c>
      <x:c r="F67" s="30" t="n">
        <x:f>COUNTIFS('Feature Progress'!$E$2:$E$423,A67,'Feature Progress'!$J$2:$J$423,"☑")</x:f>
        <x:v>0</x:v>
      </x:c>
      <x:c r="G67" s="30" t="n">
        <x:f>COUNTIFS('Feature Progress'!$E$2:$E$423,A67,'Feature Progress'!$K$2:$K$423,"Đang làm")</x:f>
        <x:v>0</x:v>
      </x:c>
      <x:c r="H67" s="30" t="n">
        <x:f>COUNTIFS('Feature Progress'!$E$2:$E$423,A67,'Feature Progress'!$K$2:$K$423,"Blocked")</x:f>
        <x:v>0</x:v>
      </x:c>
      <x:c r="I67" s="40" t="n">
        <x:f>IF(E67=0,0,F67/E67)</x:f>
        <x:v>0</x:v>
      </x:c>
      <x:c r="J67" s="40" t="n">
        <x:f>IF(E67=0,0,SUMIF('Feature Progress'!$E$2:$E$423,A67,'Feature Progress'!$L$2:$L$423)/E67)</x:f>
        <x:v>0</x:v>
      </x:c>
      <x:c r="K67" s="30" t="n">
        <x:v>0</x:v>
      </x:c>
      <x:c r="L67" s="30" t="n">
        <x:v>0</x:v>
      </x:c>
      <x:c r="M67" s="30" t="n">
        <x:v>2</x:v>
      </x:c>
    </x:row>
    <x:row r="68">
      <x:c r="A68" s="30" t="str">
        <x:v>T-WP18</x:v>
      </x:c>
      <x:c r="B68" s="30" t="str">
        <x:v>Thắng</x:v>
      </x:c>
      <x:c r="C68" s="30" t="str">
        <x:v>M11</x:v>
      </x:c>
      <x:c r="D68" s="30" t="str">
        <x:v>AI Evaluation Dataset, Metrics &amp; Calibration</x:v>
      </x:c>
      <x:c r="E68" s="30" t="n">
        <x:f>COUNTIF('Feature Progress'!$E$2:$E$423,A68)</x:f>
        <x:v>7</x:v>
      </x:c>
      <x:c r="F68" s="30" t="n">
        <x:f>COUNTIFS('Feature Progress'!$E$2:$E$423,A68,'Feature Progress'!$J$2:$J$423,"☑")</x:f>
        <x:v>0</x:v>
      </x:c>
      <x:c r="G68" s="30" t="n">
        <x:f>COUNTIFS('Feature Progress'!$E$2:$E$423,A68,'Feature Progress'!$K$2:$K$423,"Đang làm")</x:f>
        <x:v>0</x:v>
      </x:c>
      <x:c r="H68" s="30" t="n">
        <x:f>COUNTIFS('Feature Progress'!$E$2:$E$423,A68,'Feature Progress'!$K$2:$K$423,"Blocked")</x:f>
        <x:v>0</x:v>
      </x:c>
      <x:c r="I68" s="40" t="n">
        <x:f>IF(E68=0,0,F68/E68)</x:f>
        <x:v>0</x:v>
      </x:c>
      <x:c r="J68" s="40" t="n">
        <x:f>IF(E68=0,0,SUMIF('Feature Progress'!$E$2:$E$423,A68,'Feature Progress'!$L$2:$L$423)/E68)</x:f>
        <x:v>0</x:v>
      </x:c>
      <x:c r="K68" s="30" t="n">
        <x:v>1</x:v>
      </x:c>
      <x:c r="L68" s="30" t="n">
        <x:v>3</x:v>
      </x:c>
      <x:c r="M68" s="30" t="n">
        <x:v>3</x:v>
      </x:c>
    </x:row>
    <x:row r="69">
      <x:c r="A69" s="30" t="str">
        <x:v>H-FWP01</x:v>
      </x:c>
      <x:c r="B69" s="30" t="str">
        <x:v>Hùng</x:v>
      </x:c>
      <x:c r="C69" s="30" t="str">
        <x:v>FUTURE</x:v>
      </x:c>
      <x:c r="D69" s="30" t="str">
        <x:v>Future Entitlements, Plans &amp; Subscription Boundary</x:v>
      </x:c>
      <x:c r="E69" s="30" t="n">
        <x:f>COUNTIF('Feature Progress'!$E$2:$E$423,A69)</x:f>
        <x:v>4</x:v>
      </x:c>
      <x:c r="F69" s="30" t="n">
        <x:f>COUNTIFS('Feature Progress'!$E$2:$E$423,A69,'Feature Progress'!$J$2:$J$423,"☑")</x:f>
        <x:v>0</x:v>
      </x:c>
      <x:c r="G69" s="30" t="n">
        <x:f>COUNTIFS('Feature Progress'!$E$2:$E$423,A69,'Feature Progress'!$K$2:$K$423,"Đang làm")</x:f>
        <x:v>0</x:v>
      </x:c>
      <x:c r="H69" s="30" t="n">
        <x:f>COUNTIFS('Feature Progress'!$E$2:$E$423,A69,'Feature Progress'!$K$2:$K$423,"Blocked")</x:f>
        <x:v>0</x:v>
      </x:c>
      <x:c r="I69" s="40" t="n">
        <x:f>IF(E69=0,0,F69/E69)</x:f>
        <x:v>0</x:v>
      </x:c>
      <x:c r="J69" s="40" t="n">
        <x:f>IF(E69=0,0,SUMIF('Feature Progress'!$E$2:$E$423,A69,'Feature Progress'!$L$2:$L$423)/E69)</x:f>
        <x:v>0</x:v>
      </x:c>
      <x:c r="K69" s="30" t="n">
        <x:v>0</x:v>
      </x:c>
      <x:c r="L69" s="30" t="n">
        <x:v>0</x:v>
      </x:c>
      <x:c r="M69" s="30" t="n">
        <x:v>4</x:v>
      </x:c>
    </x:row>
    <x:row r="70">
      <x:c r="A70" s="30" t="str">
        <x:v>H-FWP02</x:v>
      </x:c>
      <x:c r="B70" s="30" t="str">
        <x:v>Hùng</x:v>
      </x:c>
      <x:c r="C70" s="30" t="str">
        <x:v>FUTURE</x:v>
      </x:c>
      <x:c r="D70" s="30" t="str">
        <x:v>Community Contribution Gamification</x:v>
      </x:c>
      <x:c r="E70" s="30" t="n">
        <x:f>COUNTIF('Feature Progress'!$E$2:$E$423,A70)</x:f>
        <x:v>3</x:v>
      </x:c>
      <x:c r="F70" s="30" t="n">
        <x:f>COUNTIFS('Feature Progress'!$E$2:$E$423,A70,'Feature Progress'!$J$2:$J$423,"☑")</x:f>
        <x:v>0</x:v>
      </x:c>
      <x:c r="G70" s="30" t="n">
        <x:f>COUNTIFS('Feature Progress'!$E$2:$E$423,A70,'Feature Progress'!$K$2:$K$423,"Đang làm")</x:f>
        <x:v>0</x:v>
      </x:c>
      <x:c r="H70" s="30" t="n">
        <x:f>COUNTIFS('Feature Progress'!$E$2:$E$423,A70,'Feature Progress'!$K$2:$K$423,"Blocked")</x:f>
        <x:v>0</x:v>
      </x:c>
      <x:c r="I70" s="40" t="n">
        <x:f>IF(E70=0,0,F70/E70)</x:f>
        <x:v>0</x:v>
      </x:c>
      <x:c r="J70" s="40" t="n">
        <x:f>IF(E70=0,0,SUMIF('Feature Progress'!$E$2:$E$423,A70,'Feature Progress'!$L$2:$L$423)/E70)</x:f>
        <x:v>0</x:v>
      </x:c>
      <x:c r="K70" s="30" t="n">
        <x:v>0</x:v>
      </x:c>
      <x:c r="L70" s="30" t="n">
        <x:v>0</x:v>
      </x:c>
      <x:c r="M70" s="30" t="n">
        <x:v>3</x:v>
      </x:c>
    </x:row>
    <x:row r="71">
      <x:c r="A71" s="30" t="str">
        <x:v>K-FWP01</x:v>
      </x:c>
      <x:c r="B71" s="30" t="str">
        <x:v>Khải</x:v>
      </x:c>
      <x:c r="C71" s="30" t="str">
        <x:v>FUTURE</x:v>
      </x:c>
      <x:c r="D71" s="30" t="str">
        <x:v>Browser Extension Protection Surface</x:v>
      </x:c>
      <x:c r="E71" s="30" t="n">
        <x:f>COUNTIF('Feature Progress'!$E$2:$E$423,A71)</x:f>
        <x:v>6</x:v>
      </x:c>
      <x:c r="F71" s="30" t="n">
        <x:f>COUNTIFS('Feature Progress'!$E$2:$E$423,A71,'Feature Progress'!$J$2:$J$423,"☑")</x:f>
        <x:v>0</x:v>
      </x:c>
      <x:c r="G71" s="30" t="n">
        <x:f>COUNTIFS('Feature Progress'!$E$2:$E$423,A71,'Feature Progress'!$K$2:$K$423,"Đang làm")</x:f>
        <x:v>0</x:v>
      </x:c>
      <x:c r="H71" s="30" t="n">
        <x:f>COUNTIFS('Feature Progress'!$E$2:$E$423,A71,'Feature Progress'!$K$2:$K$423,"Blocked")</x:f>
        <x:v>0</x:v>
      </x:c>
      <x:c r="I71" s="40" t="n">
        <x:f>IF(E71=0,0,F71/E71)</x:f>
        <x:v>0</x:v>
      </x:c>
      <x:c r="J71" s="40" t="n">
        <x:f>IF(E71=0,0,SUMIF('Feature Progress'!$E$2:$E$423,A71,'Feature Progress'!$L$2:$L$423)/E71)</x:f>
        <x:v>0</x:v>
      </x:c>
      <x:c r="K71" s="30" t="n">
        <x:v>0</x:v>
      </x:c>
      <x:c r="L71" s="30" t="n">
        <x:v>0</x:v>
      </x:c>
      <x:c r="M71" s="30" t="n">
        <x:v>6</x:v>
      </x:c>
    </x:row>
    <x:row r="72">
      <x:c r="A72" s="30" t="str">
        <x:v>K-FWP02</x:v>
      </x:c>
      <x:c r="B72" s="30" t="str">
        <x:v>Khải</x:v>
      </x:c>
      <x:c r="C72" s="30" t="str">
        <x:v>FUTURE</x:v>
      </x:c>
      <x:c r="D72" s="30" t="str">
        <x:v>Future Usage, Credit Ledger &amp; API Credentials</x:v>
      </x:c>
      <x:c r="E72" s="30" t="n">
        <x:f>COUNTIF('Feature Progress'!$E$2:$E$423,A72)</x:f>
        <x:v>5</x:v>
      </x:c>
      <x:c r="F72" s="30" t="n">
        <x:f>COUNTIFS('Feature Progress'!$E$2:$E$423,A72,'Feature Progress'!$J$2:$J$423,"☑")</x:f>
        <x:v>0</x:v>
      </x:c>
      <x:c r="G72" s="30" t="n">
        <x:f>COUNTIFS('Feature Progress'!$E$2:$E$423,A72,'Feature Progress'!$K$2:$K$423,"Đang làm")</x:f>
        <x:v>0</x:v>
      </x:c>
      <x:c r="H72" s="30" t="n">
        <x:f>COUNTIFS('Feature Progress'!$E$2:$E$423,A72,'Feature Progress'!$K$2:$K$423,"Blocked")</x:f>
        <x:v>0</x:v>
      </x:c>
      <x:c r="I72" s="40" t="n">
        <x:f>IF(E72=0,0,F72/E72)</x:f>
        <x:v>0</x:v>
      </x:c>
      <x:c r="J72" s="40" t="n">
        <x:f>IF(E72=0,0,SUMIF('Feature Progress'!$E$2:$E$423,A72,'Feature Progress'!$L$2:$L$423)/E72)</x:f>
        <x:v>0</x:v>
      </x:c>
      <x:c r="K72" s="30" t="n">
        <x:v>0</x:v>
      </x:c>
      <x:c r="L72" s="30" t="n">
        <x:v>0</x:v>
      </x:c>
      <x:c r="M72" s="30" t="n">
        <x:v>5</x:v>
      </x:c>
    </x:row>
    <x:row r="73">
      <x:c r="A73" s="30" t="str">
        <x:v>K-FWP03</x:v>
      </x:c>
      <x:c r="B73" s="30" t="str">
        <x:v>Khải</x:v>
      </x:c>
      <x:c r="C73" s="30" t="str">
        <x:v>FUTURE</x:v>
      </x:c>
      <x:c r="D73" s="30" t="str">
        <x:v>Social Sharing for Learning/Engagement</x:v>
      </x:c>
      <x:c r="E73" s="30" t="n">
        <x:f>COUNTIF('Feature Progress'!$E$2:$E$423,A73)</x:f>
        <x:v>1</x:v>
      </x:c>
      <x:c r="F73" s="30" t="n">
        <x:f>COUNTIFS('Feature Progress'!$E$2:$E$423,A73,'Feature Progress'!$J$2:$J$423,"☑")</x:f>
        <x:v>0</x:v>
      </x:c>
      <x:c r="G73" s="30" t="n">
        <x:f>COUNTIFS('Feature Progress'!$E$2:$E$423,A73,'Feature Progress'!$K$2:$K$423,"Đang làm")</x:f>
        <x:v>0</x:v>
      </x:c>
      <x:c r="H73" s="30" t="n">
        <x:f>COUNTIFS('Feature Progress'!$E$2:$E$423,A73,'Feature Progress'!$K$2:$K$423,"Blocked")</x:f>
        <x:v>0</x:v>
      </x:c>
      <x:c r="I73" s="40" t="n">
        <x:f>IF(E73=0,0,F73/E73)</x:f>
        <x:v>0</x:v>
      </x:c>
      <x:c r="J73" s="40" t="n">
        <x:f>IF(E73=0,0,SUMIF('Feature Progress'!$E$2:$E$423,A73,'Feature Progress'!$L$2:$L$423)/E73)</x:f>
        <x:v>0</x:v>
      </x:c>
      <x:c r="K73" s="30" t="n">
        <x:v>0</x:v>
      </x:c>
      <x:c r="L73" s="30" t="n">
        <x:v>0</x:v>
      </x:c>
      <x:c r="M73" s="30" t="n">
        <x:v>1</x:v>
      </x:c>
    </x:row>
    <x:row r="74">
      <x:c r="A74" s="30" t="str">
        <x:v>I-FWP01</x:v>
      </x:c>
      <x:c r="B74" s="30" t="str">
        <x:v>Kiên</x:v>
      </x:c>
      <x:c r="C74" s="30" t="str">
        <x:v>FUTURE</x:v>
      </x:c>
      <x:c r="D74" s="30" t="str">
        <x:v>Knowledge Library &amp; Editorial Workflow</x:v>
      </x:c>
      <x:c r="E74" s="30" t="n">
        <x:f>COUNTIF('Feature Progress'!$E$2:$E$423,A74)</x:f>
        <x:v>6</x:v>
      </x:c>
      <x:c r="F74" s="30" t="n">
        <x:f>COUNTIFS('Feature Progress'!$E$2:$E$423,A74,'Feature Progress'!$J$2:$J$423,"☑")</x:f>
        <x:v>0</x:v>
      </x:c>
      <x:c r="G74" s="30" t="n">
        <x:f>COUNTIFS('Feature Progress'!$E$2:$E$423,A74,'Feature Progress'!$K$2:$K$423,"Đang làm")</x:f>
        <x:v>0</x:v>
      </x:c>
      <x:c r="H74" s="30" t="n">
        <x:f>COUNTIFS('Feature Progress'!$E$2:$E$423,A74,'Feature Progress'!$K$2:$K$423,"Blocked")</x:f>
        <x:v>0</x:v>
      </x:c>
      <x:c r="I74" s="40" t="n">
        <x:f>IF(E74=0,0,F74/E74)</x:f>
        <x:v>0</x:v>
      </x:c>
      <x:c r="J74" s="40" t="n">
        <x:f>IF(E74=0,0,SUMIF('Feature Progress'!$E$2:$E$423,A74,'Feature Progress'!$L$2:$L$423)/E74)</x:f>
        <x:v>0</x:v>
      </x:c>
      <x:c r="K74" s="30" t="n">
        <x:v>0</x:v>
      </x:c>
      <x:c r="L74" s="30" t="n">
        <x:v>0</x:v>
      </x:c>
      <x:c r="M74" s="30" t="n">
        <x:v>6</x:v>
      </x:c>
    </x:row>
    <x:row r="75">
      <x:c r="A75" s="30" t="str">
        <x:v>T-FWP01</x:v>
      </x:c>
      <x:c r="B75" s="30" t="str">
        <x:v>Thắng</x:v>
      </x:c>
      <x:c r="C75" s="30" t="str">
        <x:v>FUTURE</x:v>
      </x:c>
      <x:c r="D75" s="30" t="str">
        <x:v>Scam Q&amp;A Assistant</x:v>
      </x:c>
      <x:c r="E75" s="30" t="n">
        <x:f>COUNTIF('Feature Progress'!$E$2:$E$423,A75)</x:f>
        <x:v>6</x:v>
      </x:c>
      <x:c r="F75" s="30" t="n">
        <x:f>COUNTIFS('Feature Progress'!$E$2:$E$423,A75,'Feature Progress'!$J$2:$J$423,"☑")</x:f>
        <x:v>0</x:v>
      </x:c>
      <x:c r="G75" s="30" t="n">
        <x:f>COUNTIFS('Feature Progress'!$E$2:$E$423,A75,'Feature Progress'!$K$2:$K$423,"Đang làm")</x:f>
        <x:v>0</x:v>
      </x:c>
      <x:c r="H75" s="30" t="n">
        <x:f>COUNTIFS('Feature Progress'!$E$2:$E$423,A75,'Feature Progress'!$K$2:$K$423,"Blocked")</x:f>
        <x:v>0</x:v>
      </x:c>
      <x:c r="I75" s="40" t="n">
        <x:f>IF(E75=0,0,F75/E75)</x:f>
        <x:v>0</x:v>
      </x:c>
      <x:c r="J75" s="40" t="n">
        <x:f>IF(E75=0,0,SUMIF('Feature Progress'!$E$2:$E$423,A75,'Feature Progress'!$L$2:$L$423)/E75)</x:f>
        <x:v>0</x:v>
      </x:c>
      <x:c r="K75" s="30" t="n">
        <x:v>0</x:v>
      </x:c>
      <x:c r="L75" s="30" t="n">
        <x:v>0</x:v>
      </x:c>
      <x:c r="M75" s="30" t="n">
        <x:v>6</x:v>
      </x:c>
    </x:row>
    <x:row r="76">
      <x:c r="A76" s="30" t="str">
        <x:v>T-FWP02</x:v>
      </x:c>
      <x:c r="B76" s="30" t="str">
        <x:v>Thắng</x:v>
      </x:c>
      <x:c r="C76" s="30" t="str">
        <x:v>FUTURE</x:v>
      </x:c>
      <x:c r="D76" s="30" t="str">
        <x:v>Anti-Scam Quiz &amp; Learning Evaluation</x:v>
      </x:c>
      <x:c r="E76" s="30" t="n">
        <x:f>COUNTIF('Feature Progress'!$E$2:$E$423,A76)</x:f>
        <x:v>2</x:v>
      </x:c>
      <x:c r="F76" s="30" t="n">
        <x:f>COUNTIFS('Feature Progress'!$E$2:$E$423,A76,'Feature Progress'!$J$2:$J$423,"☑")</x:f>
        <x:v>0</x:v>
      </x:c>
      <x:c r="G76" s="30" t="n">
        <x:f>COUNTIFS('Feature Progress'!$E$2:$E$423,A76,'Feature Progress'!$K$2:$K$423,"Đang làm")</x:f>
        <x:v>0</x:v>
      </x:c>
      <x:c r="H76" s="30" t="n">
        <x:f>COUNTIFS('Feature Progress'!$E$2:$E$423,A76,'Feature Progress'!$K$2:$K$423,"Blocked")</x:f>
        <x:v>0</x:v>
      </x:c>
      <x:c r="I76" s="40" t="n">
        <x:f>IF(E76=0,0,F76/E76)</x:f>
        <x:v>0</x:v>
      </x:c>
      <x:c r="J76" s="40" t="n">
        <x:f>IF(E76=0,0,SUMIF('Feature Progress'!$E$2:$E$423,A76,'Feature Progress'!$L$2:$L$423)/E76)</x:f>
        <x:v>0</x:v>
      </x:c>
      <x:c r="K76" s="30" t="n">
        <x:v>0</x:v>
      </x:c>
      <x:c r="L76" s="30" t="n">
        <x:v>0</x:v>
      </x:c>
      <x:c r="M76" s="30" t="n">
        <x:v>2</x:v>
      </x:c>
    </x:row>
  </x:sheetData>
  <x:conditionalFormatting sqref="I2:J76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{59AECF23-6A77-2956-DE53-79FB8D0BAE9F}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9AECF23-6A77-2956-DE53-79FB8D0BAE9F}">
            <x14:dataBar gradient="1">
              <x14:cfvo type="min"/>
              <x14:cfvo type="max"/>
              <x14:fillColor rgb="FFA02B93"/>
            </x14:dataBar>
          </x14:cfRule>
          <xm:sqref>I2:J76</xm:sqref>
        </x14:conditionalFormatting>
      </x14:conditionalFormattings>
    </x:ext>
  </x:extLst>
</x:worksheet>
</file>