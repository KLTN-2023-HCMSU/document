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5e27c5557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w Tasks" sheetId="1" r:id="R6c47c952d9f44406"/>
    <x:sheet xmlns:r="http://schemas.openxmlformats.org/officeDocument/2006/relationships" name="Weekly Plan" sheetId="2" r:id="R1ffb841cc85d4589"/>
    <x:sheet xmlns:r="http://schemas.openxmlformats.org/officeDocument/2006/relationships" name="Weekly Updates" sheetId="3" r:id="R07db9b553a074c30"/>
    <x:sheet xmlns:r="http://schemas.openxmlformats.org/officeDocument/2006/relationships" name="Requirements" sheetId="4" r:id="Rb09bc00d53ef464e"/>
    <x:sheet xmlns:r="http://schemas.openxmlformats.org/officeDocument/2006/relationships" name="Manual UAT" sheetId="5" r:id="R5a9707ea4a894c5d"/>
    <x:sheet xmlns:r="http://schemas.openxmlformats.org/officeDocument/2006/relationships" name="Enablers" sheetId="6" r:id="R8e65236c86cf4508"/>
    <x:sheet xmlns:r="http://schemas.openxmlformats.org/officeDocument/2006/relationships" name="Releases" sheetId="7" r:id="Rf5a12a2941594835"/>
    <x:sheet xmlns:r="http://schemas.openxmlformats.org/officeDocument/2006/relationships" name="Week Gates" sheetId="8" r:id="R785a389f6f914476"/>
    <x:sheet xmlns:r="http://schemas.openxmlformats.org/officeDocument/2006/relationships" name="Release Gates" sheetId="9" r:id="Rc2433cf8449c437a"/>
    <x:sheet xmlns:r="http://schemas.openxmlformats.org/officeDocument/2006/relationships" name="Risks" sheetId="10" r:id="R1f0ea2cb6adc4305"/>
    <x:sheet xmlns:r="http://schemas.openxmlformats.org/officeDocument/2006/relationships" name="Dashboard" sheetId="11" r:id="R2322e92cf904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10">
    <x:font>
      <x:sz val="11"/>
      <x:name val="Carlito"/>
    </x:font>
    <x:font>
      <x:b/>
      <x:sz val="17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2263A"/>
      <x:name val="Carlito"/>
    </x:font>
    <x:font>
      <x:b/>
      <x:sz val="11"/>
      <x:color rgb="FF78350F"/>
      <x:name val="Carlito"/>
    </x:font>
    <x:font>
      <x:b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3F8"/>
      </x:patternFill>
    </x:fill>
    <x:fill>
      <x:patternFill patternType="solid">
        <x:fgColor rgb="FF0E7490"/>
      </x:patternFill>
    </x:fill>
    <x:fill>
      <x:patternFill patternType="solid">
        <x:fgColor rgb="FFF6F9FC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</x:cellXfs>
  <x:cellStyles count="1">
    <x:cellStyle name="Normal" xfId="0"/>
  </x:cellStyles>
  <x:dxfs count="1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436f77f4f44a1" /><Relationship Type="http://schemas.openxmlformats.org/officeDocument/2006/relationships/theme" Target="/xl/theme/theme1.xml" Id="Ra3b2959127734bff" /><Relationship Type="http://schemas.openxmlformats.org/officeDocument/2006/relationships/sharedStrings" Target="/xl/sharedStrings.xml" Id="Rcd0e04926b814687" /><Relationship Type="http://schemas.openxmlformats.org/officeDocument/2006/relationships/worksheet" Target="/xl/worksheets/sheet1.xml" Id="R6c47c952d9f44406" /><Relationship Type="http://schemas.openxmlformats.org/officeDocument/2006/relationships/worksheet" Target="/xl/worksheets/sheet2.xml" Id="R1ffb841cc85d4589" /><Relationship Type="http://schemas.openxmlformats.org/officeDocument/2006/relationships/worksheet" Target="/xl/worksheets/sheet3.xml" Id="R07db9b553a074c30" /><Relationship Type="http://schemas.openxmlformats.org/officeDocument/2006/relationships/worksheet" Target="/xl/worksheets/sheet4.xml" Id="Rb09bc00d53ef464e" /><Relationship Type="http://schemas.openxmlformats.org/officeDocument/2006/relationships/worksheet" Target="/xl/worksheets/sheet5.xml" Id="R5a9707ea4a894c5d" /><Relationship Type="http://schemas.openxmlformats.org/officeDocument/2006/relationships/worksheet" Target="/xl/worksheets/sheet6.xml" Id="R8e65236c86cf4508" /><Relationship Type="http://schemas.openxmlformats.org/officeDocument/2006/relationships/worksheet" Target="/xl/worksheets/sheet7.xml" Id="Rf5a12a2941594835" /><Relationship Type="http://schemas.openxmlformats.org/officeDocument/2006/relationships/worksheet" Target="/xl/worksheets/sheet8.xml" Id="R785a389f6f914476" /><Relationship Type="http://schemas.openxmlformats.org/officeDocument/2006/relationships/worksheet" Target="/xl/worksheets/sheet9.xml" Id="Rc2433cf8449c437a" /><Relationship Type="http://schemas.openxmlformats.org/officeDocument/2006/relationships/worksheet" Target="/xl/worksheets/sheet10.xml" Id="R1f0ea2cb6adc4305" /><Relationship Type="http://schemas.openxmlformats.org/officeDocument/2006/relationships/worksheet" Target="/xl/worksheets/sheet11.xml" Id="R2322e92cf9044c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13" hidden="0" customWidth="1"/>
    <x:col min="5" max="5" width="12" hidden="0" customWidth="1"/>
    <x:col min="6" max="6" width="18" hidden="0" customWidth="1"/>
    <x:col min="7" max="7" width="10" hidden="0" customWidth="1"/>
    <x:col min="8" max="8" width="10" hidden="0" customWidth="1"/>
    <x:col min="9" max="9" width="14" hidden="0" customWidth="1"/>
    <x:col min="10" max="10" width="12" hidden="0" customWidth="1"/>
    <x:col min="11" max="11" width="18" hidden="0" customWidth="1"/>
    <x:col min="12" max="12" width="14" hidden="0" customWidth="1"/>
    <x:col min="13" max="13" width="12" hidden="0" customWidth="1"/>
    <x:col min="14" max="14" width="12" hidden="0" customWidth="1"/>
    <x:col min="15" max="15" width="35" hidden="0" customWidth="1"/>
    <x:col min="16" max="16" width="34" hidden="0" customWidth="1"/>
    <x:col min="17" max="17" width="26" hidden="0" customWidth="1"/>
    <x:col min="18" max="18" width="27" hidden="0" customWidth="1"/>
    <x:col min="19" max="19" width="44" hidden="0" customWidth="1"/>
  </x:cols>
  <x:sheetData>
    <x:row r="1" ht="35" customHeight="1">
      <x:c r="A1" s="4" t="str">
        <x:v>V3.0 / FULL-FLOW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7" customHeight="1">
      <x:c r="A2" s="10" t="str">
        <x:v>Nguồn dữ liệu chính · cập nhật K Status + L Gate + M/N UAT + Q Blocker + R Evidence · không đánh dấu Done từ mock-only.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4" ht="29" customHeight="1">
      <x:c r="A4" s="17" t="str">
        <x:v>Flow ID</x:v>
      </x:c>
      <x:c r="B4" s="17" t="str">
        <x:v>Functional Area</x:v>
      </x:c>
      <x:c r="C4" s="17" t="str">
        <x:v>Full User/Admin Flow</x:v>
      </x:c>
      <x:c r="D4" s="17" t="str">
        <x:v>Flow Captain</x:v>
      </x:c>
      <x:c r="E4" s="17" t="str">
        <x:v>Peer UAT</x:v>
      </x:c>
      <x:c r="F4" s="17" t="str">
        <x:v>Modules</x:v>
      </x:c>
      <x:c r="G4" s="17" t="str">
        <x:v>Priority</x:v>
      </x:c>
      <x:c r="H4" s="17" t="str">
        <x:v>Est. SP</x:v>
      </x:c>
      <x:c r="I4" s="17" t="str">
        <x:v>Target Release</x:v>
      </x:c>
      <x:c r="J4" s="17" t="str">
        <x:v>Target Week</x:v>
      </x:c>
      <x:c r="K4" s="17" t="str">
        <x:v>Implementation Status</x:v>
      </x:c>
      <x:c r="L4" s="17" t="str">
        <x:v>Gate</x:v>
      </x:c>
      <x:c r="M4" s="17" t="str">
        <x:v>Web UAT</x:v>
      </x:c>
      <x:c r="N4" s="17" t="str">
        <x:v>Mobile UAT</x:v>
      </x:c>
      <x:c r="O4" s="17" t="str">
        <x:v>Fixture / Contract</x:v>
      </x:c>
      <x:c r="P4" s="17" t="str">
        <x:v>Integration Dependencies</x:v>
      </x:c>
      <x:c r="Q4" s="17" t="str">
        <x:v>Blocker / Issue</x:v>
      </x:c>
      <x:c r="R4" s="17" t="str">
        <x:v>Evidence URL</x:v>
      </x:c>
      <x:c r="S4" s="17" t="str">
        <x:v>Notes</x:v>
      </x:c>
    </x:row>
    <x:row r="5" ht="29" customHeight="1">
      <x:c r="A5" s="24" t="str">
        <x:v>A01</x:v>
      </x:c>
      <x:c r="B5" s="24" t="str">
        <x:v>Authentication</x:v>
      </x:c>
      <x:c r="C5" s="24" t="str">
        <x:v>Đăng ký tài khoản &amp; xác thực email OTP</x:v>
      </x:c>
      <x:c r="D5" s="24" t="str">
        <x:v>Hùng</x:v>
      </x:c>
      <x:c r="E5" s="24" t="str">
        <x:v>Khải</x:v>
      </x:c>
      <x:c r="F5" s="24" t="str">
        <x:v>M01,M10</x:v>
      </x:c>
      <x:c r="G5" s="24" t="str">
        <x:v>P0</x:v>
      </x:c>
      <x:c r="H5" s="28" t="n">
        <x:v>5</x:v>
      </x:c>
      <x:c r="I5" s="24" t="str">
        <x:v>v0.1.0</x:v>
      </x:c>
      <x:c r="J5" s="24" t="str">
        <x:v>W11</x:v>
      </x:c>
      <x:c r="K5" s="24" t="str">
        <x:v>To Verify</x:v>
      </x:c>
      <x:c r="L5" s="24" t="str">
        <x:v>Unverified</x:v>
      </x:c>
      <x:c r="M5" s="24" t="str">
        <x:v>Not Run</x:v>
      </x:c>
      <x:c r="N5" s="24" t="str">
        <x:v>Not Run</x:v>
      </x:c>
      <x:c r="O5" s="24" t="str">
        <x:v>Email sandbox + user test fixture</x:v>
      </x:c>
      <x:c r="P5" s="24" t="str">
        <x:v>E-IDENTITY</x:v>
      </x:c>
      <x:c r="Q5" s="24" t="str"/>
      <x:c r="R5" s="24" t="str"/>
      <x:c r="S5" s="24" t="str">
        <x:v>W09 đã có RegistrationService/AuthController: không viết lại. Xác minh lại UI và email delivery.</x:v>
      </x:c>
    </x:row>
    <x:row r="6" ht="29" customHeight="1">
      <x:c r="A6" s="26" t="str">
        <x:v>A02</x:v>
      </x:c>
      <x:c r="B6" s="26" t="str">
        <x:v>Authentication</x:v>
      </x:c>
      <x:c r="C6" s="26" t="str">
        <x:v>Đăng nhập bằng email / mật khẩu</x:v>
      </x:c>
      <x:c r="D6" s="26" t="str">
        <x:v>Hùng</x:v>
      </x:c>
      <x:c r="E6" s="26" t="str">
        <x:v>Khải</x:v>
      </x:c>
      <x:c r="F6" s="26" t="str">
        <x:v>M01</x:v>
      </x:c>
      <x:c r="G6" s="26" t="str">
        <x:v>P0</x:v>
      </x:c>
      <x:c r="H6" s="29" t="n">
        <x:v>3</x:v>
      </x:c>
      <x:c r="I6" s="26" t="str">
        <x:v>v0.1.0</x:v>
      </x:c>
      <x:c r="J6" s="26" t="str">
        <x:v>W11</x:v>
      </x:c>
      <x:c r="K6" s="26" t="str">
        <x:v>To Verify</x:v>
      </x:c>
      <x:c r="L6" s="26" t="str">
        <x:v>Unverified</x:v>
      </x:c>
      <x:c r="M6" s="26" t="str">
        <x:v>Not Run</x:v>
      </x:c>
      <x:c r="N6" s="26" t="str">
        <x:v>Not Run</x:v>
      </x:c>
      <x:c r="O6" s="26" t="str">
        <x:v>Verified user seeded + wrong-password fixture</x:v>
      </x:c>
      <x:c r="P6" s="26" t="str">
        <x:v>A01 (dùng seeded verified user cũng được)</x:v>
      </x:c>
      <x:c r="Q6" s="26" t="str"/>
      <x:c r="R6" s="26" t="str"/>
      <x:c r="S6" s="26" t="str">
        <x:v>Chỉ đánh dấu Done khi G5 có evidence; nếu code W09 đã có thì đánh giá remaining effort trước khi code tiếp.</x:v>
      </x:c>
    </x:row>
    <x:row r="7" ht="29" customHeight="1">
      <x:c r="A7" s="24" t="str">
        <x:v>A03</x:v>
      </x:c>
      <x:c r="B7" s="24" t="str">
        <x:v>Authentication</x:v>
      </x:c>
      <x:c r="C7" s="24" t="str">
        <x:v>Đăng nhập Google OIDC / liên kết identity an toàn</x:v>
      </x:c>
      <x:c r="D7" s="24" t="str">
        <x:v>Hùng</x:v>
      </x:c>
      <x:c r="E7" s="24" t="str">
        <x:v>Khải</x:v>
      </x:c>
      <x:c r="F7" s="24" t="str">
        <x:v>M01</x:v>
      </x:c>
      <x:c r="G7" s="24" t="str">
        <x:v>P0</x:v>
      </x:c>
      <x:c r="H7" s="28" t="n">
        <x:v>5</x:v>
      </x:c>
      <x:c r="I7" s="24" t="str">
        <x:v>v0.1.0</x:v>
      </x:c>
      <x:c r="J7" s="24" t="str">
        <x:v>W12</x:v>
      </x:c>
      <x:c r="K7" s="24" t="str">
        <x:v>To Verify</x:v>
      </x:c>
      <x:c r="L7" s="24" t="str">
        <x:v>Unverified</x:v>
      </x:c>
      <x:c r="M7" s="24" t="str">
        <x:v>Not Run</x:v>
      </x:c>
      <x:c r="N7" s="24" t="str">
        <x:v>Not Run</x:v>
      </x:c>
      <x:c r="O7" s="24" t="str">
        <x:v>OIDC test tenant/sandbox identities</x:v>
      </x:c>
      <x:c r="P7" s="24" t="str">
        <x:v>A02; Google OIDC sandbox</x:v>
      </x:c>
      <x:c r="Q7" s="24" t="str"/>
      <x:c r="R7" s="24" t="str"/>
      <x:c r="S7" s="24" t="str">
        <x:v>P0 theo mốc V2.1; nếu sandbox credentials chưa có phải đưa vào blocker ngay.</x:v>
      </x:c>
    </x:row>
    <x:row r="8" ht="29" customHeight="1">
      <x:c r="A8" s="26" t="str">
        <x:v>A04</x:v>
      </x:c>
      <x:c r="B8" s="26" t="str">
        <x:v>Authentication</x:v>
      </x:c>
      <x:c r="C8" s="26" t="str">
        <x:v>Quên mật khẩu → OTP → đặt mật khẩu mới</x:v>
      </x:c>
      <x:c r="D8" s="26" t="str">
        <x:v>Hùng</x:v>
      </x:c>
      <x:c r="E8" s="26" t="str">
        <x:v>Khải</x:v>
      </x:c>
      <x:c r="F8" s="26" t="str">
        <x:v>M01,M10</x:v>
      </x:c>
      <x:c r="G8" s="26" t="str">
        <x:v>P1</x:v>
      </x:c>
      <x:c r="H8" s="29" t="n">
        <x:v>5</x:v>
      </x:c>
      <x:c r="I8" s="26" t="str">
        <x:v>v0.2.0</x:v>
      </x:c>
      <x:c r="J8" s="26" t="str">
        <x:v>W14</x:v>
      </x:c>
      <x:c r="K8" s="26" t="str">
        <x:v>To Verify</x:v>
      </x:c>
      <x:c r="L8" s="26" t="str">
        <x:v>Unverified</x:v>
      </x:c>
      <x:c r="M8" s="26" t="str">
        <x:v>Not Run</x:v>
      </x:c>
      <x:c r="N8" s="26" t="str">
        <x:v>Not Run</x:v>
      </x:c>
      <x:c r="O8" s="26" t="str">
        <x:v>Test inbox + verified user</x:v>
      </x:c>
      <x:c r="P8" s="26" t="str">
        <x:v>A01 OTP service</x:v>
      </x:c>
      <x:c r="Q8" s="26" t="str"/>
      <x:c r="R8" s="26" t="str"/>
      <x:c r="S8" s="26" t="str">
        <x:v>Chỉ đánh dấu Done khi G5 có evidence; nếu code W09 đã có thì đánh giá remaining effort trước khi code tiếp.</x:v>
      </x:c>
    </x:row>
    <x:row r="9" ht="29" customHeight="1">
      <x:c r="A9" s="24" t="str">
        <x:v>A05</x:v>
      </x:c>
      <x:c r="B9" s="24" t="str">
        <x:v>Authentication</x:v>
      </x:c>
      <x:c r="C9" s="24" t="str">
        <x:v>Đổi mật khẩu khi đã đăng nhập</x:v>
      </x:c>
      <x:c r="D9" s="24" t="str">
        <x:v>Hùng</x:v>
      </x:c>
      <x:c r="E9" s="24" t="str">
        <x:v>Khải</x:v>
      </x:c>
      <x:c r="F9" s="24" t="str">
        <x:v>M01,M10</x:v>
      </x:c>
      <x:c r="G9" s="24" t="str">
        <x:v>P1</x:v>
      </x:c>
      <x:c r="H9" s="28" t="n">
        <x:v>3</x:v>
      </x:c>
      <x:c r="I9" s="24" t="str">
        <x:v>v0.2.0</x:v>
      </x:c>
      <x:c r="J9" s="24" t="str">
        <x:v>W14</x:v>
      </x:c>
      <x:c r="K9" s="24" t="str">
        <x:v>To Verify</x:v>
      </x:c>
      <x:c r="L9" s="24" t="str">
        <x:v>Unverified</x:v>
      </x:c>
      <x:c r="M9" s="24" t="str">
        <x:v>Not Run</x:v>
      </x:c>
      <x:c r="N9" s="24" t="str">
        <x:v>Not Run</x:v>
      </x:c>
      <x:c r="O9" s="24" t="str">
        <x:v>Current password + change OTP fixture</x:v>
      </x:c>
      <x:c r="P9" s="24" t="str">
        <x:v>A02,A01 OTP</x:v>
      </x:c>
      <x:c r="Q9" s="24" t="str"/>
      <x:c r="R9" s="24" t="str"/>
      <x:c r="S9" s="24" t="str">
        <x:v>Chỉ đánh dấu Done khi G5 có evidence; nếu code W09 đã có thì đánh giá remaining effort trước khi code tiếp.</x:v>
      </x:c>
    </x:row>
    <x:row r="10" ht="29" customHeight="1">
      <x:c r="A10" s="26" t="str">
        <x:v>A06</x:v>
      </x:c>
      <x:c r="B10" s="26" t="str">
        <x:v>Authentication</x:v>
      </x:c>
      <x:c r="C10" s="26" t="str">
        <x:v>Đăng xuất phiên hiện tại</x:v>
      </x:c>
      <x:c r="D10" s="26" t="str">
        <x:v>Hùng</x:v>
      </x:c>
      <x:c r="E10" s="26" t="str">
        <x:v>Khải</x:v>
      </x:c>
      <x:c r="F10" s="26" t="str">
        <x:v>M01</x:v>
      </x:c>
      <x:c r="G10" s="26" t="str">
        <x:v>P0</x:v>
      </x:c>
      <x:c r="H10" s="29" t="n">
        <x:v>2</x:v>
      </x:c>
      <x:c r="I10" s="26" t="str">
        <x:v>v0.1.0</x:v>
      </x:c>
      <x:c r="J10" s="26" t="str">
        <x:v>W11</x:v>
      </x:c>
      <x:c r="K10" s="26" t="str">
        <x:v>To Verify</x:v>
      </x:c>
      <x:c r="L10" s="26" t="str">
        <x:v>Unverified</x:v>
      </x:c>
      <x:c r="M10" s="26" t="str">
        <x:v>Not Run</x:v>
      </x:c>
      <x:c r="N10" s="26" t="str">
        <x:v>Not Run</x:v>
      </x:c>
      <x:c r="O10" s="26" t="str">
        <x:v>Active session fixture</x:v>
      </x:c>
      <x:c r="P10" s="26" t="str">
        <x:v>A02</x:v>
      </x:c>
      <x:c r="Q10" s="26" t="str"/>
      <x:c r="R10" s="26" t="str"/>
      <x:c r="S10" s="26" t="str">
        <x:v>Chỉ đánh dấu Done khi G5 có evidence; nếu code W09 đã có thì đánh giá remaining effort trước khi code tiếp.</x:v>
      </x:c>
    </x:row>
    <x:row r="11" ht="29" customHeight="1">
      <x:c r="A11" s="24" t="str">
        <x:v>A07</x:v>
      </x:c>
      <x:c r="B11" s="24" t="str">
        <x:v>Authentication</x:v>
      </x:c>
      <x:c r="C11" s="24" t="str">
        <x:v>Đăng xuất tất cả thiết bị</x:v>
      </x:c>
      <x:c r="D11" s="24" t="str">
        <x:v>Kiên</x:v>
      </x:c>
      <x:c r="E11" s="24" t="str">
        <x:v>Hùng</x:v>
      </x:c>
      <x:c r="F11" s="24" t="str">
        <x:v>M01</x:v>
      </x:c>
      <x:c r="G11" s="24" t="str">
        <x:v>P1</x:v>
      </x:c>
      <x:c r="H11" s="28" t="n">
        <x:v>2</x:v>
      </x:c>
      <x:c r="I11" s="24" t="str">
        <x:v>v0.2.0</x:v>
      </x:c>
      <x:c r="J11" s="24" t="str">
        <x:v>W15</x:v>
      </x:c>
      <x:c r="K11" s="24" t="str">
        <x:v>To Verify</x:v>
      </x:c>
      <x:c r="L11" s="24" t="str">
        <x:v>Unverified</x:v>
      </x:c>
      <x:c r="M11" s="24" t="str">
        <x:v>Not Run</x:v>
      </x:c>
      <x:c r="N11" s="24" t="str">
        <x:v>Not Run</x:v>
      </x:c>
      <x:c r="O11" s="24" t="str">
        <x:v>2 sessions seeded; AuthSession fixture</x:v>
      </x:c>
      <x:c r="P11" s="24" t="str">
        <x:v>A02; phối hợp Hùng M01</x:v>
      </x:c>
      <x:c r="Q11" s="24" t="str"/>
      <x:c r="R11" s="24" t="str"/>
      <x:c r="S11" s="24" t="str">
        <x:v>Assignment theo Flow Captain, không chuyển ownership Auth backend khỏi Hùng.</x:v>
      </x:c>
    </x:row>
    <x:row r="12" ht="29" customHeight="1">
      <x:c r="A12" s="26" t="str">
        <x:v>A08</x:v>
      </x:c>
      <x:c r="B12" s="26" t="str">
        <x:v>Authentication</x:v>
      </x:c>
      <x:c r="C12" s="26" t="str">
        <x:v>Xem / cập nhật hồ sơ cá nhân</x:v>
      </x:c>
      <x:c r="D12" s="26" t="str">
        <x:v>Khải</x:v>
      </x:c>
      <x:c r="E12" s="26" t="str">
        <x:v>Thắng</x:v>
      </x:c>
      <x:c r="F12" s="26" t="str">
        <x:v>M01</x:v>
      </x:c>
      <x:c r="G12" s="26" t="str">
        <x:v>P0</x:v>
      </x:c>
      <x:c r="H12" s="29" t="n">
        <x:v>3</x:v>
      </x:c>
      <x:c r="I12" s="26" t="str">
        <x:v>v0.1.0</x:v>
      </x:c>
      <x:c r="J12" s="26" t="str">
        <x:v>W12</x:v>
      </x:c>
      <x:c r="K12" s="26" t="str">
        <x:v>To Verify</x:v>
      </x:c>
      <x:c r="L12" s="26" t="str">
        <x:v>Unverified</x:v>
      </x:c>
      <x:c r="M12" s="26" t="str">
        <x:v>Not Run</x:v>
      </x:c>
      <x:c r="N12" s="26" t="str">
        <x:v>Not Run</x:v>
      </x:c>
      <x:c r="O12" s="26" t="str">
        <x:v>Seeded verified user + another user</x:v>
      </x:c>
      <x:c r="P12" s="26" t="str">
        <x:v>A02</x:v>
      </x:c>
      <x:c r="Q12" s="26" t="str"/>
      <x:c r="R12" s="26" t="str"/>
      <x:c r="S12" s="26" t="str">
        <x:v>Không nhân đôi việc đã có trong UserController W09.</x:v>
      </x:c>
    </x:row>
    <x:row r="13" ht="29" customHeight="1">
      <x:c r="A13" s="24" t="str">
        <x:v>S01</x:v>
      </x:c>
      <x:c r="B13" s="24" t="str">
        <x:v>Scan Detection</x:v>
      </x:c>
      <x:c r="C13" s="24" t="str">
        <x:v>Guest Scan URL → RiskResult</x:v>
      </x:c>
      <x:c r="D13" s="24" t="str">
        <x:v>Khải</x:v>
      </x:c>
      <x:c r="E13" s="24" t="str">
        <x:v>Thắng</x:v>
      </x:c>
      <x:c r="F13" s="24" t="str">
        <x:v>M02,M09,M12,M06,M13</x:v>
      </x:c>
      <x:c r="G13" s="24" t="str">
        <x:v>P0</x:v>
      </x:c>
      <x:c r="H13" s="28" t="n">
        <x:v>13</x:v>
      </x:c>
      <x:c r="I13" s="24" t="str">
        <x:v>v0.1.0</x:v>
      </x:c>
      <x:c r="J13" s="24" t="str">
        <x:v>W11</x:v>
      </x:c>
      <x:c r="K13" s="24" t="str">
        <x:v>To Verify</x:v>
      </x:c>
      <x:c r="L13" s="24" t="str">
        <x:v>Unverified</x:v>
      </x:c>
      <x:c r="M13" s="24" t="str">
        <x:v>Not Run</x:v>
      </x:c>
      <x:c r="N13" s="24" t="str">
        <x:v>Not Run</x:v>
      </x:c>
      <x:c r="O13" s="24" t="str">
        <x:v>URL allowlist fixture + SSRF fixtures + queue spy</x:v>
      </x:c>
      <x:c r="P13" s="24" t="str">
        <x:v>E-RUNTIME,E-CORE,R02</x:v>
      </x:c>
      <x:c r="Q13" s="24" t="str"/>
      <x:c r="R13" s="24" t="str"/>
      <x:c r="S13" s="24" t="str">
        <x:v>Walking skeleton đầu tiên; scan-engine legacy không thay thế V3.3 URL worker.</x:v>
      </x:c>
    </x:row>
    <x:row r="14" ht="29" customHeight="1">
      <x:c r="A14" s="26" t="str">
        <x:v>S02</x:v>
      </x:c>
      <x:c r="B14" s="26" t="str">
        <x:v>Scan Detection</x:v>
      </x:c>
      <x:c r="C14" s="26" t="str">
        <x:v>Scan tin nhắn / bài đăng giao dịch</x:v>
      </x:c>
      <x:c r="D14" s="26" t="str">
        <x:v>Thắng</x:v>
      </x:c>
      <x:c r="E14" s="26" t="str">
        <x:v>Kiên</x:v>
      </x:c>
      <x:c r="F14" s="26" t="str">
        <x:v>M03,M11,M12,M09</x:v>
      </x:c>
      <x:c r="G14" s="26" t="str">
        <x:v>P0</x:v>
      </x:c>
      <x:c r="H14" s="29" t="n">
        <x:v>13</x:v>
      </x:c>
      <x:c r="I14" s="26" t="str">
        <x:v>v0.1.0</x:v>
      </x:c>
      <x:c r="J14" s="26" t="str">
        <x:v>W12</x:v>
      </x:c>
      <x:c r="K14" s="26" t="str">
        <x:v>To Verify</x:v>
      </x:c>
      <x:c r="L14" s="26" t="str">
        <x:v>Unverified</x:v>
      </x:c>
      <x:c r="M14" s="26" t="str">
        <x:v>Not Run</x:v>
      </x:c>
      <x:c r="N14" s="26" t="str">
        <x:v>Not Run</x:v>
      </x:c>
      <x:c r="O14" s="26" t="str">
        <x:v>MESSAGE + TRANSACTION_POST fixtures, AI fake and real worker sandbox</x:v>
      </x:c>
      <x:c r="P14" s="26" t="str">
        <x:v>E-CORE,E-AI,S01 basic,R02</x:v>
      </x:c>
      <x:c r="Q14" s="26" t="str"/>
      <x:c r="R14" s="26" t="str"/>
      <x:c r="S14" s="26" t="str">
        <x:v>Chỉ đánh dấu Done khi G5 có evidence; nếu code W09 đã có thì đánh giá remaining effort trước khi code tiếp.</x:v>
      </x:c>
    </x:row>
    <x:row r="15" ht="29" customHeight="1">
      <x:c r="A15" s="24" t="str">
        <x:v>S03</x:v>
      </x:c>
      <x:c r="B15" s="24" t="str">
        <x:v>Scan Detection</x:v>
      </x:c>
      <x:c r="C15" s="24" t="str">
        <x:v>Kiểm tra reputation số điện thoại</x:v>
      </x:c>
      <x:c r="D15" s="24" t="str">
        <x:v>Kiên</x:v>
      </x:c>
      <x:c r="E15" s="24" t="str">
        <x:v>Hùng</x:v>
      </x:c>
      <x:c r="F15" s="24" t="str">
        <x:v>M04,M08,M09,M12</x:v>
      </x:c>
      <x:c r="G15" s="24" t="str">
        <x:v>P0</x:v>
      </x:c>
      <x:c r="H15" s="28" t="n">
        <x:v>8</x:v>
      </x:c>
      <x:c r="I15" s="24" t="str">
        <x:v>v0.1.0</x:v>
      </x:c>
      <x:c r="J15" s="24" t="str">
        <x:v>W12</x:v>
      </x:c>
      <x:c r="K15" s="24" t="str">
        <x:v>To Verify</x:v>
      </x:c>
      <x:c r="L15" s="24" t="str">
        <x:v>Unverified</x:v>
      </x:c>
      <x:c r="M15" s="24" t="str">
        <x:v>Not Run</x:v>
      </x:c>
      <x:c r="N15" s="24" t="str">
        <x:v>Not Run</x:v>
      </x:c>
      <x:c r="O15" s="24" t="str">
        <x:v>Known/unknown/unavailable phone fixtures</x:v>
      </x:c>
      <x:c r="P15" s="24" t="str">
        <x:v>E-CORE,E-RUNTIME,R02</x:v>
      </x:c>
      <x:c r="Q15" s="24" t="str"/>
      <x:c r="R15" s="24" t="str"/>
      <x:c r="S15" s="24" t="str">
        <x:v>Chỉ đánh dấu Done khi G5 có evidence; nếu code W09 đã có thì đánh giá remaining effort trước khi code tiếp.</x:v>
      </x:c>
    </x:row>
    <x:row r="16" ht="29" customHeight="1">
      <x:c r="A16" s="26" t="str">
        <x:v>S04</x:v>
      </x:c>
      <x:c r="B16" s="26" t="str">
        <x:v>Scan Detection</x:v>
      </x:c>
      <x:c r="C16" s="26" t="str">
        <x:v>Kiểm tra reputation tài khoản ngân hàng</x:v>
      </x:c>
      <x:c r="D16" s="26" t="str">
        <x:v>Kiên</x:v>
      </x:c>
      <x:c r="E16" s="26" t="str">
        <x:v>Hùng</x:v>
      </x:c>
      <x:c r="F16" s="26" t="str">
        <x:v>M04,M08,M09,M12</x:v>
      </x:c>
      <x:c r="G16" s="26" t="str">
        <x:v>P0</x:v>
      </x:c>
      <x:c r="H16" s="29" t="n">
        <x:v>8</x:v>
      </x:c>
      <x:c r="I16" s="26" t="str">
        <x:v>v0.1.0</x:v>
      </x:c>
      <x:c r="J16" s="26" t="str">
        <x:v>W12</x:v>
      </x:c>
      <x:c r="K16" s="26" t="str">
        <x:v>To Verify</x:v>
      </x:c>
      <x:c r="L16" s="26" t="str">
        <x:v>Unverified</x:v>
      </x:c>
      <x:c r="M16" s="26" t="str">
        <x:v>Not Run</x:v>
      </x:c>
      <x:c r="N16" s="26" t="str">
        <x:v>Not Run</x:v>
      </x:c>
      <x:c r="O16" s="26" t="str">
        <x:v>Bank/account collision fixtures</x:v>
      </x:c>
      <x:c r="P16" s="26" t="str">
        <x:v>S03 shared pipeline</x:v>
      </x:c>
      <x:c r="Q16" s="26" t="str"/>
      <x:c r="R16" s="26" t="str"/>
      <x:c r="S16" s="26" t="str">
        <x:v>Chỉ đánh dấu Done khi G5 có evidence; nếu code W09 đã có thì đánh giá remaining effort trước khi code tiếp.</x:v>
      </x:c>
    </x:row>
    <x:row r="17" ht="29" customHeight="1">
      <x:c r="A17" s="24" t="str">
        <x:v>S05</x:v>
      </x:c>
      <x:c r="B17" s="24" t="str">
        <x:v>Scan Detection</x:v>
      </x:c>
      <x:c r="C17" s="24" t="str">
        <x:v>Quét/upload QR/VietQR → nested scan</x:v>
      </x:c>
      <x:c r="D17" s="24" t="str">
        <x:v>Thắng</x:v>
      </x:c>
      <x:c r="E17" s="24" t="str">
        <x:v>Kiên</x:v>
      </x:c>
      <x:c r="F17" s="24" t="str">
        <x:v>M05,M12,M04,M02,M03</x:v>
      </x:c>
      <x:c r="G17" s="24" t="str">
        <x:v>P0</x:v>
      </x:c>
      <x:c r="H17" s="28" t="n">
        <x:v>13</x:v>
      </x:c>
      <x:c r="I17" s="24" t="str">
        <x:v>v0.1.0</x:v>
      </x:c>
      <x:c r="J17" s="24" t="str">
        <x:v>W12</x:v>
      </x:c>
      <x:c r="K17" s="24" t="str">
        <x:v>To Verify</x:v>
      </x:c>
      <x:c r="L17" s="24" t="str">
        <x:v>Unverified</x:v>
      </x:c>
      <x:c r="M17" s="24" t="str">
        <x:v>Not Run</x:v>
      </x:c>
      <x:c r="N17" s="24" t="str">
        <x:v>Not Run</x:v>
      </x:c>
      <x:c r="O17" s="24" t="str">
        <x:v>QR URL/Text/VietQR PNG + child result fixtures</x:v>
      </x:c>
      <x:c r="P17" s="24" t="str">
        <x:v>S01,S02/S03,E-CORE</x:v>
      </x:c>
      <x:c r="Q17" s="24" t="str"/>
      <x:c r="R17" s="24" t="str"/>
      <x:c r="S17" s="24" t="str">
        <x:v>Chỉ đánh dấu Done khi G5 có evidence; nếu code W09 đã có thì đánh giá remaining effort trước khi code tiếp.</x:v>
      </x:c>
    </x:row>
    <x:row r="18" ht="29" customHeight="1">
      <x:c r="A18" s="26" t="str">
        <x:v>R01</x:v>
      </x:c>
      <x:c r="B18" s="26" t="str">
        <x:v>Result &amp; History</x:v>
      </x:c>
      <x:c r="C18" s="26" t="str">
        <x:v>Theo dõi trạng thái scan đang xử lý</x:v>
      </x:c>
      <x:c r="D18" s="26" t="str">
        <x:v>Kiên</x:v>
      </x:c>
      <x:c r="E18" s="26" t="str">
        <x:v>Hùng</x:v>
      </x:c>
      <x:c r="F18" s="26" t="str">
        <x:v>M06,M12</x:v>
      </x:c>
      <x:c r="G18" s="26" t="str">
        <x:v>P0</x:v>
      </x:c>
      <x:c r="H18" s="29" t="n">
        <x:v>5</x:v>
      </x:c>
      <x:c r="I18" s="26" t="str">
        <x:v>v0.1.0</x:v>
      </x:c>
      <x:c r="J18" s="26" t="str">
        <x:v>W11</x:v>
      </x:c>
      <x:c r="K18" s="26" t="str">
        <x:v>To Verify</x:v>
      </x:c>
      <x:c r="L18" s="26" t="str">
        <x:v>Unverified</x:v>
      </x:c>
      <x:c r="M18" s="26" t="str">
        <x:v>Not Run</x:v>
      </x:c>
      <x:c r="N18" s="26" t="str">
        <x:v>Not Run</x:v>
      </x:c>
      <x:c r="O18" s="26" t="str">
        <x:v>Delayed result fixture; guest access proof</x:v>
      </x:c>
      <x:c r="P18" s="26" t="str">
        <x:v>E-CORE</x:v>
      </x:c>
      <x:c r="Q18" s="26" t="str"/>
      <x:c r="R18" s="26" t="str"/>
      <x:c r="S18" s="26" t="str">
        <x:v>Chỉ đánh dấu Done khi G5 có evidence; nếu code W09 đã có thì đánh giá remaining effort trước khi code tiếp.</x:v>
      </x:c>
    </x:row>
    <x:row r="19" ht="29" customHeight="1">
      <x:c r="A19" s="24" t="str">
        <x:v>R02</x:v>
      </x:c>
      <x:c r="B19" s="24" t="str">
        <x:v>Result &amp; History</x:v>
      </x:c>
      <x:c r="C19" s="24" t="str">
        <x:v>Xem kết quả scan chi tiết</x:v>
      </x:c>
      <x:c r="D19" s="24" t="str">
        <x:v>Thắng</x:v>
      </x:c>
      <x:c r="E19" s="24" t="str">
        <x:v>Kiên</x:v>
      </x:c>
      <x:c r="F19" s="24" t="str">
        <x:v>M06,M09</x:v>
      </x:c>
      <x:c r="G19" s="24" t="str">
        <x:v>P0</x:v>
      </x:c>
      <x:c r="H19" s="28" t="n">
        <x:v>5</x:v>
      </x:c>
      <x:c r="I19" s="24" t="str">
        <x:v>v0.1.0</x:v>
      </x:c>
      <x:c r="J19" s="24" t="str">
        <x:v>W11</x:v>
      </x:c>
      <x:c r="K19" s="24" t="str">
        <x:v>To Verify</x:v>
      </x:c>
      <x:c r="L19" s="24" t="str">
        <x:v>Unverified</x:v>
      </x:c>
      <x:c r="M19" s="24" t="str">
        <x:v>Not Run</x:v>
      </x:c>
      <x:c r="N19" s="24" t="str">
        <x:v>Not Run</x:v>
      </x:c>
      <x:c r="O19" s="24" t="str">
        <x:v>RiskResult valid+degraded fixture</x:v>
      </x:c>
      <x:c r="P19" s="24" t="str">
        <x:v>RiskResult contract W09;R01</x:v>
      </x:c>
      <x:c r="Q19" s="24" t="str"/>
      <x:c r="R19" s="24" t="str"/>
      <x:c r="S19" s="24" t="str">
        <x:v>Chỉ đánh dấu Done khi G5 có evidence; nếu code W09 đã có thì đánh giá remaining effort trước khi code tiếp.</x:v>
      </x:c>
    </x:row>
    <x:row r="20" ht="29" customHeight="1">
      <x:c r="A20" s="26" t="str">
        <x:v>R03</x:v>
      </x:c>
      <x:c r="B20" s="26" t="str">
        <x:v>Result &amp; History</x:v>
      </x:c>
      <x:c r="C20" s="26" t="str">
        <x:v>Xem, lọc và phân trang lịch sử scan</x:v>
      </x:c>
      <x:c r="D20" s="26" t="str">
        <x:v>Thắng</x:v>
      </x:c>
      <x:c r="E20" s="26" t="str">
        <x:v>Kiên</x:v>
      </x:c>
      <x:c r="F20" s="26" t="str">
        <x:v>M06,M01,M12</x:v>
      </x:c>
      <x:c r="G20" s="26" t="str">
        <x:v>P0</x:v>
      </x:c>
      <x:c r="H20" s="29" t="n">
        <x:v>8</x:v>
      </x:c>
      <x:c r="I20" s="26" t="str">
        <x:v>v0.1.0</x:v>
      </x:c>
      <x:c r="J20" s="26" t="str">
        <x:v>W12</x:v>
      </x:c>
      <x:c r="K20" s="26" t="str">
        <x:v>To Verify</x:v>
      </x:c>
      <x:c r="L20" s="26" t="str">
        <x:v>Unverified</x:v>
      </x:c>
      <x:c r="M20" s="26" t="str">
        <x:v>Not Run</x:v>
      </x:c>
      <x:c r="N20" s="26" t="str">
        <x:v>Not Run</x:v>
      </x:c>
      <x:c r="O20" s="26" t="str">
        <x:v>2 seeded users + scan history rows</x:v>
      </x:c>
      <x:c r="P20" s="26" t="str">
        <x:v>A02,R01,R02</x:v>
      </x:c>
      <x:c r="Q20" s="26" t="str"/>
      <x:c r="R20" s="26" t="str"/>
      <x:c r="S20" s="26" t="str">
        <x:v>Chỉ đánh dấu Done khi G5 có evidence; nếu code W09 đã có thì đánh giá remaining effort trước khi code tiếp.</x:v>
      </x:c>
    </x:row>
    <x:row r="21" ht="29" customHeight="1">
      <x:c r="A21" s="24" t="str">
        <x:v>R04</x:v>
      </x:c>
      <x:c r="B21" s="24" t="str">
        <x:v>Result &amp; History</x:v>
      </x:c>
      <x:c r="C21" s="24" t="str">
        <x:v>Xuất kết quả scan PDF/HTML</x:v>
      </x:c>
      <x:c r="D21" s="24" t="str">
        <x:v>Thắng</x:v>
      </x:c>
      <x:c r="E21" s="24" t="str">
        <x:v>Kiên</x:v>
      </x:c>
      <x:c r="F21" s="24" t="str">
        <x:v>M06,M13</x:v>
      </x:c>
      <x:c r="G21" s="24" t="str">
        <x:v>P0</x:v>
      </x:c>
      <x:c r="H21" s="28" t="n">
        <x:v>5</x:v>
      </x:c>
      <x:c r="I21" s="24" t="str">
        <x:v>v0.1.0</x:v>
      </x:c>
      <x:c r="J21" s="24" t="str">
        <x:v>W12</x:v>
      </x:c>
      <x:c r="K21" s="24" t="str">
        <x:v>To Verify</x:v>
      </x:c>
      <x:c r="L21" s="24" t="str">
        <x:v>Unverified</x:v>
      </x:c>
      <x:c r="M21" s="24" t="str">
        <x:v>Not Run</x:v>
      </x:c>
      <x:c r="N21" s="24" t="str">
        <x:v>Not Run</x:v>
      </x:c>
      <x:c r="O21" s="24" t="str">
        <x:v>Stored scan result + MinIO fixture</x:v>
      </x:c>
      <x:c r="P21" s="24" t="str">
        <x:v>R02; object storage/export</x:v>
      </x:c>
      <x:c r="Q21" s="24" t="str"/>
      <x:c r="R21" s="24" t="str"/>
      <x:c r="S21" s="24" t="str">
        <x:v>Chỉ đánh dấu Done khi G5 có evidence; nếu code W09 đã có thì đánh giá remaining effort trước khi code tiếp.</x:v>
      </x:c>
    </x:row>
    <x:row r="22" ht="29" customHeight="1">
      <x:c r="A22" s="26" t="str">
        <x:v>R05</x:v>
      </x:c>
      <x:c r="B22" s="26" t="str">
        <x:v>Result &amp; History</x:v>
      </x:c>
      <x:c r="C22" s="26" t="str">
        <x:v>Chia sẻ kết quả scan theo chính sách quyền</x:v>
      </x:c>
      <x:c r="D22" s="26" t="str">
        <x:v>Khải</x:v>
      </x:c>
      <x:c r="E22" s="26" t="str">
        <x:v>Thắng</x:v>
      </x:c>
      <x:c r="F22" s="26" t="str">
        <x:v>M06,M01</x:v>
      </x:c>
      <x:c r="G22" s="26" t="str">
        <x:v>P2</x:v>
      </x:c>
      <x:c r="H22" s="29" t="n">
        <x:v>3</x:v>
      </x:c>
      <x:c r="I22" s="26" t="str">
        <x:v>v0.3.0</x:v>
      </x:c>
      <x:c r="J22" s="26" t="str">
        <x:v>W17</x:v>
      </x:c>
      <x:c r="K22" s="26" t="str">
        <x:v>To Verify</x:v>
      </x:c>
      <x:c r="L22" s="26" t="str">
        <x:v>Unverified</x:v>
      </x:c>
      <x:c r="M22" s="26" t="str">
        <x:v>Not Run</x:v>
      </x:c>
      <x:c r="N22" s="26" t="str">
        <x:v>Not Run</x:v>
      </x:c>
      <x:c r="O22" s="26" t="str">
        <x:v>Public/private result fixtures</x:v>
      </x:c>
      <x:c r="P22" s="26" t="str">
        <x:v>R02,R04</x:v>
      </x:c>
      <x:c r="Q22" s="26" t="str"/>
      <x:c r="R22" s="26" t="str"/>
      <x:c r="S22" s="26" t="str">
        <x:v>Chỉ đánh dấu Done khi G5 có evidence; nếu code W09 đã có thì đánh giá remaining effort trước khi code tiếp.</x:v>
      </x:c>
    </x:row>
    <x:row r="23" ht="29" customHeight="1">
      <x:c r="A23" s="24" t="str">
        <x:v>C01</x:v>
      </x:c>
      <x:c r="B23" s="24" t="str">
        <x:v>Community</x:v>
      </x:c>
      <x:c r="C23" s="24" t="str">
        <x:v>Gửi báo cáo đối tượng nghi lừa đảo</x:v>
      </x:c>
      <x:c r="D23" s="24" t="str">
        <x:v>Hùng</x:v>
      </x:c>
      <x:c r="E23" s="24" t="str">
        <x:v>Khải</x:v>
      </x:c>
      <x:c r="F23" s="24" t="str">
        <x:v>M07,M13</x:v>
      </x:c>
      <x:c r="G23" s="24" t="str">
        <x:v>P0</x:v>
      </x:c>
      <x:c r="H23" s="28" t="n">
        <x:v>8</x:v>
      </x:c>
      <x:c r="I23" s="24" t="str">
        <x:v>v0.1.0</x:v>
      </x:c>
      <x:c r="J23" s="24" t="str">
        <x:v>W11</x:v>
      </x:c>
      <x:c r="K23" s="24" t="str">
        <x:v>To Verify</x:v>
      </x:c>
      <x:c r="L23" s="24" t="str">
        <x:v>Unverified</x:v>
      </x:c>
      <x:c r="M23" s="24" t="str">
        <x:v>Not Run</x:v>
      </x:c>
      <x:c r="N23" s="24" t="str">
        <x:v>Not Run</x:v>
      </x:c>
      <x:c r="O23" s="24" t="str">
        <x:v>Reported entity + evidence fixture</x:v>
      </x:c>
      <x:c r="P23" s="24" t="str">
        <x:v>A02; object storage if evidence</x:v>
      </x:c>
      <x:c r="Q23" s="24" t="str"/>
      <x:c r="R23" s="24" t="str"/>
      <x:c r="S23" s="24" t="str">
        <x:v>Chỉ đánh dấu Done khi G5 có evidence; nếu code W09 đã có thì đánh giá remaining effort trước khi code tiếp.</x:v>
      </x:c>
    </x:row>
    <x:row r="24" ht="29" customHeight="1">
      <x:c r="A24" s="26" t="str">
        <x:v>C02</x:v>
      </x:c>
      <x:c r="B24" s="26" t="str">
        <x:v>Community</x:v>
      </x:c>
      <x:c r="C24" s="26" t="str">
        <x:v>Xem trạng thái báo cáo đã gửi</x:v>
      </x:c>
      <x:c r="D24" s="26" t="str">
        <x:v>Khải</x:v>
      </x:c>
      <x:c r="E24" s="26" t="str">
        <x:v>Thắng</x:v>
      </x:c>
      <x:c r="F24" s="26" t="str">
        <x:v>M07</x:v>
      </x:c>
      <x:c r="G24" s="26" t="str">
        <x:v>P1</x:v>
      </x:c>
      <x:c r="H24" s="29" t="n">
        <x:v>3</x:v>
      </x:c>
      <x:c r="I24" s="26" t="str">
        <x:v>v0.2.0</x:v>
      </x:c>
      <x:c r="J24" s="26" t="str">
        <x:v>W14</x:v>
      </x:c>
      <x:c r="K24" s="26" t="str">
        <x:v>To Verify</x:v>
      </x:c>
      <x:c r="L24" s="26" t="str">
        <x:v>Unverified</x:v>
      </x:c>
      <x:c r="M24" s="26" t="str">
        <x:v>Not Run</x:v>
      </x:c>
      <x:c r="N24" s="26" t="str">
        <x:v>Not Run</x:v>
      </x:c>
      <x:c r="O24" s="26" t="str">
        <x:v>Two-user report fixtures</x:v>
      </x:c>
      <x:c r="P24" s="26" t="str">
        <x:v>C01</x:v>
      </x:c>
      <x:c r="Q24" s="26" t="str"/>
      <x:c r="R24" s="26" t="str"/>
      <x:c r="S24" s="26" t="str">
        <x:v>Chỉ đánh dấu Done khi G5 có evidence; nếu code W09 đã có thì đánh giá remaining effort trước khi code tiếp.</x:v>
      </x:c>
    </x:row>
    <x:row r="25" ht="29" customHeight="1">
      <x:c r="A25" s="24" t="str">
        <x:v>C03</x:v>
      </x:c>
      <x:c r="B25" s="24" t="str">
        <x:v>Community</x:v>
      </x:c>
      <x:c r="C25" s="24" t="str">
        <x:v>Moderator xác minh / từ chối báo cáo</x:v>
      </x:c>
      <x:c r="D25" s="24" t="str">
        <x:v>Hùng</x:v>
      </x:c>
      <x:c r="E25" s="24" t="str">
        <x:v>Khải</x:v>
      </x:c>
      <x:c r="F25" s="24" t="str">
        <x:v>M07,M08,M14</x:v>
      </x:c>
      <x:c r="G25" s="24" t="str">
        <x:v>P0</x:v>
      </x:c>
      <x:c r="H25" s="28" t="n">
        <x:v>13</x:v>
      </x:c>
      <x:c r="I25" s="24" t="str">
        <x:v>v0.1.0</x:v>
      </x:c>
      <x:c r="J25" s="24" t="str">
        <x:v>W12</x:v>
      </x:c>
      <x:c r="K25" s="24" t="str">
        <x:v>To Verify</x:v>
      </x:c>
      <x:c r="L25" s="24" t="str">
        <x:v>Unverified</x:v>
      </x:c>
      <x:c r="M25" s="24" t="str">
        <x:v>Not Run</x:v>
      </x:c>
      <x:c r="N25" s="24" t="str">
        <x:v>N/A</x:v>
      </x:c>
      <x:c r="O25" s="24" t="str">
        <x:v>Report pending, seeded moderator, ThreatQuery fake</x:v>
      </x:c>
      <x:c r="P25" s="24" t="str">
        <x:v>C01; K04 reputation contract</x:v>
      </x:c>
      <x:c r="Q25" s="24" t="str"/>
      <x:c r="R25" s="24" t="str"/>
      <x:c r="S25" s="24" t="str">
        <x:v>Chỉ đánh dấu Done khi G5 có evidence; nếu code W09 đã có thì đánh giá remaining effort trước khi code tiếp.</x:v>
      </x:c>
    </x:row>
    <x:row r="26" ht="29" customHeight="1">
      <x:c r="A26" s="26" t="str">
        <x:v>T01</x:v>
      </x:c>
      <x:c r="B26" s="26" t="str">
        <x:v>Threat &amp; Rules</x:v>
      </x:c>
      <x:c r="C26" s="26" t="str">
        <x:v>Admin xem danh sách nguồn Threat Intelligence</x:v>
      </x:c>
      <x:c r="D26" s="26" t="str">
        <x:v>Khải</x:v>
      </x:c>
      <x:c r="E26" s="26" t="str">
        <x:v>Thắng</x:v>
      </x:c>
      <x:c r="F26" s="26" t="str">
        <x:v>M08</x:v>
      </x:c>
      <x:c r="G26" s="26" t="str">
        <x:v>P0</x:v>
      </x:c>
      <x:c r="H26" s="29" t="n">
        <x:v>3</x:v>
      </x:c>
      <x:c r="I26" s="26" t="str">
        <x:v>v0.1.0</x:v>
      </x:c>
      <x:c r="J26" s="26" t="str">
        <x:v>W12</x:v>
      </x:c>
      <x:c r="K26" s="26" t="str">
        <x:v>To Verify</x:v>
      </x:c>
      <x:c r="L26" s="26" t="str">
        <x:v>Unverified</x:v>
      </x:c>
      <x:c r="M26" s="26" t="str">
        <x:v>Not Run</x:v>
      </x:c>
      <x:c r="N26" s="26" t="str">
        <x:v>N/A</x:v>
      </x:c>
      <x:c r="O26" s="26" t="str">
        <x:v>Seeded risk_sources/risk_source_sync_runs</x:v>
      </x:c>
      <x:c r="P26" s="26" t="str">
        <x:v>K07 ingestion source seed, A02</x:v>
      </x:c>
      <x:c r="Q26" s="26" t="str"/>
      <x:c r="R26" s="26" t="str"/>
      <x:c r="S26" s="26" t="str">
        <x:v>Chỉ đánh dấu Done khi G5 có evidence; nếu code W09 đã có thì đánh giá remaining effort trước khi code tiếp.</x:v>
      </x:c>
    </x:row>
    <x:row r="27" ht="29" customHeight="1">
      <x:c r="A27" s="24" t="str">
        <x:v>T02</x:v>
      </x:c>
      <x:c r="B27" s="24" t="str">
        <x:v>Threat &amp; Rules</x:v>
      </x:c>
      <x:c r="C27" s="24" t="str">
        <x:v>Admin bật/tắt nguồn Threat Intelligence</x:v>
      </x:c>
      <x:c r="D27" s="24" t="str">
        <x:v>Kiên</x:v>
      </x:c>
      <x:c r="E27" s="24" t="str">
        <x:v>Hùng</x:v>
      </x:c>
      <x:c r="F27" s="24" t="str">
        <x:v>M08</x:v>
      </x:c>
      <x:c r="G27" s="24" t="str">
        <x:v>P1</x:v>
      </x:c>
      <x:c r="H27" s="28" t="n">
        <x:v>3</x:v>
      </x:c>
      <x:c r="I27" s="24" t="str">
        <x:v>v0.2.0</x:v>
      </x:c>
      <x:c r="J27" s="24" t="str">
        <x:v>W14</x:v>
      </x:c>
      <x:c r="K27" s="24" t="str">
        <x:v>To Verify</x:v>
      </x:c>
      <x:c r="L27" s="24" t="str">
        <x:v>Unverified</x:v>
      </x:c>
      <x:c r="M27" s="24" t="str">
        <x:v>Not Run</x:v>
      </x:c>
      <x:c r="N27" s="24" t="str">
        <x:v>N/A</x:v>
      </x:c>
      <x:c r="O27" s="24" t="str">
        <x:v>Source states fixtures</x:v>
      </x:c>
      <x:c r="P27" s="24" t="str">
        <x:v>T01</x:v>
      </x:c>
      <x:c r="Q27" s="24" t="str"/>
      <x:c r="R27" s="24" t="str"/>
      <x:c r="S27" s="24" t="str">
        <x:v>Chỉ đánh dấu Done khi G5 có evidence; nếu code W09 đã có thì đánh giá remaining effort trước khi code tiếp.</x:v>
      </x:c>
    </x:row>
    <x:row r="28" ht="29" customHeight="1">
      <x:c r="A28" s="26" t="str">
        <x:v>T03</x:v>
      </x:c>
      <x:c r="B28" s="26" t="str">
        <x:v>Threat &amp; Rules</x:v>
      </x:c>
      <x:c r="C28" s="26" t="str">
        <x:v>Admin đồng bộ / import Threat Intelligence</x:v>
      </x:c>
      <x:c r="D28" s="26" t="str">
        <x:v>Kiên</x:v>
      </x:c>
      <x:c r="E28" s="26" t="str">
        <x:v>Hùng</x:v>
      </x:c>
      <x:c r="F28" s="26" t="str">
        <x:v>M08,M13</x:v>
      </x:c>
      <x:c r="G28" s="26" t="str">
        <x:v>P0</x:v>
      </x:c>
      <x:c r="H28" s="29" t="n">
        <x:v>8</x:v>
      </x:c>
      <x:c r="I28" s="26" t="str">
        <x:v>v0.1.0</x:v>
      </x:c>
      <x:c r="J28" s="26" t="str">
        <x:v>W12</x:v>
      </x:c>
      <x:c r="K28" s="26" t="str">
        <x:v>To Verify</x:v>
      </x:c>
      <x:c r="L28" s="26" t="str">
        <x:v>Unverified</x:v>
      </x:c>
      <x:c r="M28" s="26" t="str">
        <x:v>Not Run</x:v>
      </x:c>
      <x:c r="N28" s="26" t="str">
        <x:v>N/A</x:v>
      </x:c>
      <x:c r="O28" s="26" t="str">
        <x:v>Known threats JSON/CSV + malformed feeds</x:v>
      </x:c>
      <x:c r="P28" s="26" t="str">
        <x:v>E-RUNTIME Postgres; T01 source list</x:v>
      </x:c>
      <x:c r="Q28" s="26" t="str"/>
      <x:c r="R28" s="26" t="str"/>
      <x:c r="S28" s="26" t="str">
        <x:v>Chỉ đánh dấu Done khi G5 có evidence; nếu code W09 đã có thì đánh giá remaining effort trước khi code tiếp.</x:v>
      </x:c>
    </x:row>
    <x:row r="29" ht="29" customHeight="1">
      <x:c r="A29" s="24" t="str">
        <x:v>T04</x:v>
      </x:c>
      <x:c r="B29" s="24" t="str">
        <x:v>Threat &amp; Rules</x:v>
      </x:c>
      <x:c r="C29" s="24" t="str">
        <x:v>Admin xem rules và lịch sử versions</x:v>
      </x:c>
      <x:c r="D29" s="24" t="str">
        <x:v>Thắng</x:v>
      </x:c>
      <x:c r="E29" s="24" t="str">
        <x:v>Kiên</x:v>
      </x:c>
      <x:c r="F29" s="24" t="str">
        <x:v>M09</x:v>
      </x:c>
      <x:c r="G29" s="24" t="str">
        <x:v>P1</x:v>
      </x:c>
      <x:c r="H29" s="28" t="n">
        <x:v>3</x:v>
      </x:c>
      <x:c r="I29" s="24" t="str">
        <x:v>v0.2.0</x:v>
      </x:c>
      <x:c r="J29" s="24" t="str">
        <x:v>W15</x:v>
      </x:c>
      <x:c r="K29" s="24" t="str">
        <x:v>To Verify</x:v>
      </x:c>
      <x:c r="L29" s="24" t="str">
        <x:v>Unverified</x:v>
      </x:c>
      <x:c r="M29" s="24" t="str">
        <x:v>Not Run</x:v>
      </x:c>
      <x:c r="N29" s="24" t="str">
        <x:v>N/A</x:v>
      </x:c>
      <x:c r="O29" s="24" t="str">
        <x:v>Seeded rule versions</x:v>
      </x:c>
      <x:c r="P29" s="24" t="str">
        <x:v>W09 rule repository</x:v>
      </x:c>
      <x:c r="Q29" s="24" t="str"/>
      <x:c r="R29" s="24" t="str"/>
      <x:c r="S29" s="24" t="str">
        <x:v>Chỉ đánh dấu Done khi G5 có evidence; nếu code W09 đã có thì đánh giá remaining effort trước khi code tiếp.</x:v>
      </x:c>
    </x:row>
    <x:row r="30" ht="29" customHeight="1">
      <x:c r="A30" s="26" t="str">
        <x:v>T05</x:v>
      </x:c>
      <x:c r="B30" s="26" t="str">
        <x:v>Threat &amp; Rules</x:v>
      </x:c>
      <x:c r="C30" s="26" t="str">
        <x:v>Admin tạo rule version mới</x:v>
      </x:c>
      <x:c r="D30" s="26" t="str">
        <x:v>Kiên</x:v>
      </x:c>
      <x:c r="E30" s="26" t="str">
        <x:v>Hùng</x:v>
      </x:c>
      <x:c r="F30" s="26" t="str">
        <x:v>M09</x:v>
      </x:c>
      <x:c r="G30" s="26" t="str">
        <x:v>P1</x:v>
      </x:c>
      <x:c r="H30" s="29" t="n">
        <x:v>5</x:v>
      </x:c>
      <x:c r="I30" s="26" t="str">
        <x:v>v0.2.0</x:v>
      </x:c>
      <x:c r="J30" s="26" t="str">
        <x:v>W15</x:v>
      </x:c>
      <x:c r="K30" s="26" t="str">
        <x:v>To Verify</x:v>
      </x:c>
      <x:c r="L30" s="26" t="str">
        <x:v>Unverified</x:v>
      </x:c>
      <x:c r="M30" s="26" t="str">
        <x:v>Not Run</x:v>
      </x:c>
      <x:c r="N30" s="26" t="str">
        <x:v>N/A</x:v>
      </x:c>
      <x:c r="O30" s="26" t="str">
        <x:v>Rule seed + invalid JSON conditions</x:v>
      </x:c>
      <x:c r="P30" s="26" t="str">
        <x:v>T04</x:v>
      </x:c>
      <x:c r="Q30" s="26" t="str"/>
      <x:c r="R30" s="26" t="str"/>
      <x:c r="S30" s="26" t="str">
        <x:v>Chỉ đánh dấu Done khi G5 có evidence; nếu code W09 đã có thì đánh giá remaining effort trước khi code tiếp.</x:v>
      </x:c>
    </x:row>
    <x:row r="31" ht="29" customHeight="1">
      <x:c r="A31" s="24" t="str">
        <x:v>T06</x:v>
      </x:c>
      <x:c r="B31" s="24" t="str">
        <x:v>Threat &amp; Rules</x:v>
      </x:c>
      <x:c r="C31" s="24" t="str">
        <x:v>Admin kích hoạt rule version → scan áp dụng rule mới</x:v>
      </x:c>
      <x:c r="D31" s="24" t="str">
        <x:v>Kiên</x:v>
      </x:c>
      <x:c r="E31" s="24" t="str">
        <x:v>Hùng</x:v>
      </x:c>
      <x:c r="F31" s="24" t="str">
        <x:v>M09,M12</x:v>
      </x:c>
      <x:c r="G31" s="24" t="str">
        <x:v>P1</x:v>
      </x:c>
      <x:c r="H31" s="28" t="n">
        <x:v>8</x:v>
      </x:c>
      <x:c r="I31" s="24" t="str">
        <x:v>v0.2.0</x:v>
      </x:c>
      <x:c r="J31" s="24" t="str">
        <x:v>W16</x:v>
      </x:c>
      <x:c r="K31" s="24" t="str">
        <x:v>To Verify</x:v>
      </x:c>
      <x:c r="L31" s="24" t="str">
        <x:v>Unverified</x:v>
      </x:c>
      <x:c r="M31" s="24" t="str">
        <x:v>Not Run</x:v>
      </x:c>
      <x:c r="N31" s="24" t="str">
        <x:v>N/A</x:v>
      </x:c>
      <x:c r="O31" s="24" t="str">
        <x:v>Two deterministic rule fixtures producing different scores</x:v>
      </x:c>
      <x:c r="P31" s="24" t="str">
        <x:v>T05; Risk core</x:v>
      </x:c>
      <x:c r="Q31" s="24" t="str"/>
      <x:c r="R31" s="24" t="str"/>
      <x:c r="S31" s="24" t="str">
        <x:v>Chỉ đánh dấu Done khi G5 có evidence; nếu code W09 đã có thì đánh giá remaining effort trước khi code tiếp.</x:v>
      </x:c>
    </x:row>
    <x:row r="32" ht="29" customHeight="1">
      <x:c r="A32" s="26" t="str">
        <x:v>N01</x:v>
      </x:c>
      <x:c r="B32" s="26" t="str">
        <x:v>Notification</x:v>
      </x:c>
      <x:c r="C32" s="26" t="str">
        <x:v>Event → gửi notification tối thiểu</x:v>
      </x:c>
      <x:c r="D32" s="26" t="str">
        <x:v>Khải</x:v>
      </x:c>
      <x:c r="E32" s="26" t="str">
        <x:v>Thắng</x:v>
      </x:c>
      <x:c r="F32" s="26" t="str">
        <x:v>M10,M01,M06,M07</x:v>
      </x:c>
      <x:c r="G32" s="26" t="str">
        <x:v>P0</x:v>
      </x:c>
      <x:c r="H32" s="29" t="n">
        <x:v>5</x:v>
      </x:c>
      <x:c r="I32" s="26" t="str">
        <x:v>v0.1.0</x:v>
      </x:c>
      <x:c r="J32" s="26" t="str">
        <x:v>W12</x:v>
      </x:c>
      <x:c r="K32" s="26" t="str">
        <x:v>To Verify</x:v>
      </x:c>
      <x:c r="L32" s="26" t="str">
        <x:v>Unverified</x:v>
      </x:c>
      <x:c r="M32" s="26" t="str">
        <x:v>Not Run</x:v>
      </x:c>
      <x:c r="N32" s="26" t="str">
        <x:v>Not Run</x:v>
      </x:c>
      <x:c r="O32" s="26" t="str">
        <x:v>Email sandbox + notification event fixtures</x:v>
      </x:c>
      <x:c r="P32" s="26" t="str">
        <x:v>H-M10 backend contract, C01,A01</x:v>
      </x:c>
      <x:c r="Q32" s="26" t="str"/>
      <x:c r="R32" s="26" t="str"/>
      <x:c r="S32" s="26" t="str">
        <x:v>Chỉ đánh dấu Done khi G5 có evidence; nếu code W09 đã có thì đánh giá remaining effort trước khi code tiếp.</x:v>
      </x:c>
    </x:row>
    <x:row r="33" ht="29" customHeight="1">
      <x:c r="A33" s="24" t="str">
        <x:v>N02</x:v>
      </x:c>
      <x:c r="B33" s="24" t="str">
        <x:v>Notification</x:v>
      </x:c>
      <x:c r="C33" s="24" t="str">
        <x:v>Người dùng xem notification center / read-unread</x:v>
      </x:c>
      <x:c r="D33" s="24" t="str">
        <x:v>Thắng</x:v>
      </x:c>
      <x:c r="E33" s="24" t="str">
        <x:v>Kiên</x:v>
      </x:c>
      <x:c r="F33" s="24" t="str">
        <x:v>M10</x:v>
      </x:c>
      <x:c r="G33" s="24" t="str">
        <x:v>P1</x:v>
      </x:c>
      <x:c r="H33" s="28" t="n">
        <x:v>3</x:v>
      </x:c>
      <x:c r="I33" s="24" t="str">
        <x:v>v0.2.0</x:v>
      </x:c>
      <x:c r="J33" s="24" t="str">
        <x:v>W15</x:v>
      </x:c>
      <x:c r="K33" s="24" t="str">
        <x:v>To Verify</x:v>
      </x:c>
      <x:c r="L33" s="24" t="str">
        <x:v>Unverified</x:v>
      </x:c>
      <x:c r="M33" s="24" t="str">
        <x:v>Not Run</x:v>
      </x:c>
      <x:c r="N33" s="24" t="str">
        <x:v>Not Run</x:v>
      </x:c>
      <x:c r="O33" s="24" t="str">
        <x:v>Two-user notification fixtures</x:v>
      </x:c>
      <x:c r="P33" s="24" t="str">
        <x:v>N01</x:v>
      </x:c>
      <x:c r="Q33" s="24" t="str"/>
      <x:c r="R33" s="24" t="str"/>
      <x:c r="S33" s="24" t="str">
        <x:v>Chỉ đánh dấu Done khi G5 có evidence; nếu code W09 đã có thì đánh giá remaining effort trước khi code tiếp.</x:v>
      </x:c>
    </x:row>
    <x:row r="34" ht="29" customHeight="1">
      <x:c r="A34" s="26" t="str">
        <x:v>N03</x:v>
      </x:c>
      <x:c r="B34" s="26" t="str">
        <x:v>Notification</x:v>
      </x:c>
      <x:c r="C34" s="26" t="str">
        <x:v>Người dùng quản lý preferences notification</x:v>
      </x:c>
      <x:c r="D34" s="26" t="str">
        <x:v>Thắng</x:v>
      </x:c>
      <x:c r="E34" s="26" t="str">
        <x:v>Kiên</x:v>
      </x:c>
      <x:c r="F34" s="26" t="str">
        <x:v>M10</x:v>
      </x:c>
      <x:c r="G34" s="26" t="str">
        <x:v>P2</x:v>
      </x:c>
      <x:c r="H34" s="29" t="n">
        <x:v>3</x:v>
      </x:c>
      <x:c r="I34" s="26" t="str">
        <x:v>v0.3.0</x:v>
      </x:c>
      <x:c r="J34" s="26" t="str">
        <x:v>W17</x:v>
      </x:c>
      <x:c r="K34" s="26" t="str">
        <x:v>To Verify</x:v>
      </x:c>
      <x:c r="L34" s="26" t="str">
        <x:v>Unverified</x:v>
      </x:c>
      <x:c r="M34" s="26" t="str">
        <x:v>Not Run</x:v>
      </x:c>
      <x:c r="N34" s="26" t="str">
        <x:v>Not Run</x:v>
      </x:c>
      <x:c r="O34" s="26" t="str">
        <x:v>Two preferences profiles</x:v>
      </x:c>
      <x:c r="P34" s="26" t="str">
        <x:v>N02</x:v>
      </x:c>
      <x:c r="Q34" s="26" t="str"/>
      <x:c r="R34" s="26" t="str"/>
      <x:c r="S34" s="26" t="str">
        <x:v>Chỉ đánh dấu Done khi G5 có evidence; nếu code W09 đã có thì đánh giá remaining effort trước khi code tiếp.</x:v>
      </x:c>
    </x:row>
    <x:row r="35" ht="29" customHeight="1">
      <x:c r="A35" s="24" t="str">
        <x:v>O01</x:v>
      </x:c>
      <x:c r="B35" s="24" t="str">
        <x:v>Audit &amp; Ops</x:v>
      </x:c>
      <x:c r="C35" s="24" t="str">
        <x:v>Admin xem / lọc Audit Log</x:v>
      </x:c>
      <x:c r="D35" s="24" t="str">
        <x:v>Khải</x:v>
      </x:c>
      <x:c r="E35" s="24" t="str">
        <x:v>Thắng</x:v>
      </x:c>
      <x:c r="F35" s="24" t="str">
        <x:v>M14</x:v>
      </x:c>
      <x:c r="G35" s="24" t="str">
        <x:v>P0</x:v>
      </x:c>
      <x:c r="H35" s="28" t="n">
        <x:v>5</x:v>
      </x:c>
      <x:c r="I35" s="24" t="str">
        <x:v>v0.1.0</x:v>
      </x:c>
      <x:c r="J35" s="24" t="str">
        <x:v>W12</x:v>
      </x:c>
      <x:c r="K35" s="24" t="str">
        <x:v>To Verify</x:v>
      </x:c>
      <x:c r="L35" s="24" t="str">
        <x:v>Unverified</x:v>
      </x:c>
      <x:c r="M35" s="24" t="str">
        <x:v>Not Run</x:v>
      </x:c>
      <x:c r="N35" s="24" t="str">
        <x:v>N/A</x:v>
      </x:c>
      <x:c r="O35" s="24" t="str">
        <x:v>AuditEvent fixtures + test admin/user</x:v>
      </x:c>
      <x:c r="P35" s="24" t="str">
        <x:v>H-M14 audit backend; A02</x:v>
      </x:c>
      <x:c r="Q35" s="24" t="str"/>
      <x:c r="R35" s="24" t="str"/>
      <x:c r="S35" s="24" t="str">
        <x:v>Chỉ đánh dấu Done khi G5 có evidence; nếu code W09 đã có thì đánh giá remaining effort trước khi code tiếp.</x:v>
      </x:c>
    </x:row>
    <x:row r="36" ht="29" customHeight="1">
      <x:c r="A36" s="26" t="str">
        <x:v>O02</x:v>
      </x:c>
      <x:c r="B36" s="26" t="str">
        <x:v>Audit &amp; Ops</x:v>
      </x:c>
      <x:c r="C36" s="26" t="str">
        <x:v>Operator điều tra lỗi Scan/Worker/AI</x:v>
      </x:c>
      <x:c r="D36" s="26" t="str">
        <x:v>Khải</x:v>
      </x:c>
      <x:c r="E36" s="26" t="str">
        <x:v>Thắng</x:v>
      </x:c>
      <x:c r="F36" s="26" t="str">
        <x:v>M14,M12,M13</x:v>
      </x:c>
      <x:c r="G36" s="26" t="str">
        <x:v>P1</x:v>
      </x:c>
      <x:c r="H36" s="29" t="n">
        <x:v>8</x:v>
      </x:c>
      <x:c r="I36" s="26" t="str">
        <x:v>v0.2.0</x:v>
      </x:c>
      <x:c r="J36" s="26" t="str">
        <x:v>W15</x:v>
      </x:c>
      <x:c r="K36" s="26" t="str">
        <x:v>To Verify</x:v>
      </x:c>
      <x:c r="L36" s="26" t="str">
        <x:v>Unverified</x:v>
      </x:c>
      <x:c r="M36" s="26" t="str">
        <x:v>Not Run</x:v>
      </x:c>
      <x:c r="N36" s="26" t="str">
        <x:v>N/A</x:v>
      </x:c>
      <x:c r="O36" s="26" t="str">
        <x:v>Injected failure, dead letter fixture</x:v>
      </x:c>
      <x:c r="P36" s="26" t="str">
        <x:v>O01,S01</x:v>
      </x:c>
      <x:c r="Q36" s="26" t="str"/>
      <x:c r="R36" s="26" t="str"/>
      <x:c r="S36" s="26" t="str">
        <x:v>Chỉ đánh dấu Done khi G5 có evidence; nếu code W09 đã có thì đánh giá remaining effort trước khi code tiếp.</x:v>
      </x:c>
    </x:row>
  </x:sheetData>
  <x:mergeCells>
    <x:mergeCell ref="A1:S1"/>
    <x:mergeCell ref="A2:S2"/>
  </x:mergeCells>
  <x:conditionalFormatting sqref="K5:K36">
    <x:cfRule type="expression" dxfId="0" priority="1">
      <x:formula>K5="Done"</x:formula>
    </x:cfRule>
    <x:cfRule type="expression" dxfId="1" priority="2">
      <x:formula>K5="PASS"</x:formula>
    </x:cfRule>
    <x:cfRule type="expression" dxfId="2" priority="3">
      <x:formula>K5="G5"</x:formula>
    </x:cfRule>
    <x:cfRule type="expression" dxfId="3" priority="4">
      <x:formula>K5="Blocked"</x:formula>
    </x:cfRule>
    <x:cfRule type="expression" dxfId="4" priority="5">
      <x:formula>K5="FAIL"</x:formula>
    </x:cfRule>
    <x:cfRule type="expression" dxfId="5" priority="6">
      <x:formula>K5="Not Started"</x:formula>
    </x:cfRule>
    <x:cfRule type="expression" dxfId="6" priority="7">
      <x:formula>K5="In Progress"</x:formula>
    </x:cfRule>
    <x:cfRule type="expression" dxfId="7" priority="8">
      <x:formula>K5="Doing"</x:formula>
    </x:cfRule>
  </x:conditionalFormatting>
  <x:conditionalFormatting sqref="L5:L36">
    <x:cfRule type="expression" dxfId="8" priority="9">
      <x:formula>L5="Done"</x:formula>
    </x:cfRule>
    <x:cfRule type="expression" dxfId="9" priority="10">
      <x:formula>L5="PASS"</x:formula>
    </x:cfRule>
    <x:cfRule type="expression" dxfId="10" priority="11">
      <x:formula>L5="G5"</x:formula>
    </x:cfRule>
    <x:cfRule type="expression" dxfId="11" priority="12">
      <x:formula>L5="Blocked"</x:formula>
    </x:cfRule>
    <x:cfRule type="expression" dxfId="12" priority="13">
      <x:formula>L5="FAIL"</x:formula>
    </x:cfRule>
    <x:cfRule type="expression" dxfId="13" priority="14">
      <x:formula>L5="Not Started"</x:formula>
    </x:cfRule>
    <x:cfRule type="expression" dxfId="14" priority="15">
      <x:formula>L5="In Progress"</x:formula>
    </x:cfRule>
    <x:cfRule type="expression" dxfId="15" priority="16">
      <x:formula>L5="Doing"</x:formula>
    </x:cfRule>
  </x:conditionalFormatting>
  <x:conditionalFormatting sqref="M5:M36">
    <x:cfRule type="expression" dxfId="16" priority="17">
      <x:formula>M5="Done"</x:formula>
    </x:cfRule>
    <x:cfRule type="expression" dxfId="17" priority="18">
      <x:formula>M5="PASS"</x:formula>
    </x:cfRule>
    <x:cfRule type="expression" dxfId="18" priority="19">
      <x:formula>M5="G5"</x:formula>
    </x:cfRule>
    <x:cfRule type="expression" dxfId="19" priority="20">
      <x:formula>M5="Blocked"</x:formula>
    </x:cfRule>
    <x:cfRule type="expression" dxfId="20" priority="21">
      <x:formula>M5="FAIL"</x:formula>
    </x:cfRule>
    <x:cfRule type="expression" dxfId="21" priority="22">
      <x:formula>M5="Not Started"</x:formula>
    </x:cfRule>
    <x:cfRule type="expression" dxfId="22" priority="23">
      <x:formula>M5="In Progress"</x:formula>
    </x:cfRule>
    <x:cfRule type="expression" dxfId="23" priority="24">
      <x:formula>M5="Doing"</x:formula>
    </x:cfRule>
  </x:conditionalFormatting>
  <x:dataValidations count="6">
    <x:dataValidation type="list" sqref="G5:G36">
      <x:formula1>"P0,P1,P2"</x:formula1>
    </x:dataValidation>
    <x:dataValidation type="list" sqref="D5:D36">
      <x:formula1>"Hùng,Kiên,Khải,Thắng"</x:formula1>
    </x:dataValidation>
    <x:dataValidation type="list" sqref="K5:K36">
      <x:formula1>"To Verify,Planned,In Progress,Blocked,Ready for UAT,Done"</x:formula1>
    </x:dataValidation>
    <x:dataValidation type="list" sqref="L5:L36">
      <x:formula1>"Unverified,G0,G1,G2,G3,G4,G5"</x:formula1>
    </x:dataValidation>
    <x:dataValidation type="list" sqref="M5:M36">
      <x:formula1>"Not Run,PASS,FAIL,BLOCKED,N/A"</x:formula1>
    </x:dataValidation>
    <x:dataValidation type="list" sqref="N5:N36">
      <x:formula1>"Not Run,PASS,FAIL,BLOCKED,N/A"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43" hidden="0" customWidth="1"/>
    <x:col min="4" max="4" width="15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5" customHeight="1">
      <x:c r="A1" s="4" t="str">
        <x:v>WEEKLY PLAN / V3.0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7" customHeight="1">
      <x:c r="A2" s="10" t="str">
        <x:v>Kế hoạch mục tiêu từ W10 đến W19; W13 CHỈ regression/release, không thêm feature. Không sửa tiến độ thực tế tại sheet này.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9" customHeight="1">
      <x:c r="A4" s="17" t="str">
        <x:v>Flow ID</x:v>
      </x:c>
      <x:c r="B4" s="17" t="str">
        <x:v>Flow Captain</x:v>
      </x:c>
      <x:c r="C4" s="17" t="str">
        <x:v>Flow</x:v>
      </x:c>
      <x:c r="D4" s="17" t="str">
        <x:v>Target Release</x:v>
      </x:c>
      <x:c r="E4" s="17" t="str">
        <x:v>Week Target</x:v>
      </x:c>
      <x:c r="F4" s="17" t="str">
        <x:v>W10 (10-06–10-12)</x:v>
      </x:c>
      <x:c r="G4" s="17" t="str">
        <x:v>W11 (10-13–10-19)</x:v>
      </x:c>
      <x:c r="H4" s="17" t="str">
        <x:v>W12 (10-20–10-26)</x:v>
      </x:c>
      <x:c r="I4" s="17" t="str">
        <x:v>W13 (10-27–11-02)</x:v>
      </x:c>
      <x:c r="J4" s="17" t="str">
        <x:v>W14 (11-03–11-09)</x:v>
      </x:c>
      <x:c r="K4" s="17" t="str">
        <x:v>W15 (11-10–11-16)</x:v>
      </x:c>
      <x:c r="L4" s="17" t="str">
        <x:v>W16 (11-17–11-23)</x:v>
      </x:c>
      <x:c r="M4" s="17" t="str">
        <x:v>W17 (11-24–11-30)</x:v>
      </x:c>
      <x:c r="N4" s="17" t="str">
        <x:v>W18 (12-01–12-07)</x:v>
      </x:c>
      <x:c r="O4" s="17" t="str">
        <x:v>W19 (12-08–12-14)</x:v>
      </x:c>
    </x:row>
    <x:row r="5" ht="29" customHeight="1">
      <x:c r="A5" s="24" t="str">
        <x:v>A01</x:v>
      </x:c>
      <x:c r="B5" s="24" t="str">
        <x:v>Hùng</x:v>
      </x:c>
      <x:c r="C5" s="24" t="str">
        <x:v>Đăng ký tài khoản &amp; xác thực email OTP</x:v>
      </x:c>
      <x:c r="D5" s="24" t="str">
        <x:v>v0.1.0</x:v>
      </x:c>
      <x:c r="E5" s="24" t="str">
        <x:v>W11</x:v>
      </x:c>
      <x:c r="F5" s="24" t="str">
        <x:v>Fixture / Prep</x:v>
      </x:c>
      <x:c r="G5" s="24" t="str">
        <x:v>Build + Integrate</x:v>
      </x:c>
      <x:c r="H5" s="24" t="str">
        <x:v>Fix / Gate G3</x:v>
      </x:c>
      <x:c r="I5" s="24" t="str">
        <x:v>UAT / Release</x:v>
      </x:c>
      <x:c r="J5" s="24" t="str"/>
      <x:c r="K5" s="24" t="str"/>
      <x:c r="L5" s="24" t="str"/>
      <x:c r="M5" s="24" t="str"/>
      <x:c r="N5" s="24" t="str"/>
      <x:c r="O5" s="24" t="str"/>
    </x:row>
    <x:row r="6" ht="29" customHeight="1">
      <x:c r="A6" s="26" t="str">
        <x:v>A02</x:v>
      </x:c>
      <x:c r="B6" s="26" t="str">
        <x:v>Hùng</x:v>
      </x:c>
      <x:c r="C6" s="26" t="str">
        <x:v>Đăng nhập bằng email / mật khẩu</x:v>
      </x:c>
      <x:c r="D6" s="26" t="str">
        <x:v>v0.1.0</x:v>
      </x:c>
      <x:c r="E6" s="26" t="str">
        <x:v>W11</x:v>
      </x:c>
      <x:c r="F6" s="26" t="str">
        <x:v>Fixture / Prep</x:v>
      </x:c>
      <x:c r="G6" s="26" t="str">
        <x:v>Build + Integrate</x:v>
      </x:c>
      <x:c r="H6" s="26" t="str">
        <x:v>Fix / Gate G3</x:v>
      </x:c>
      <x:c r="I6" s="26" t="str">
        <x:v>UAT / Release</x:v>
      </x:c>
      <x:c r="J6" s="26" t="str"/>
      <x:c r="K6" s="26" t="str"/>
      <x:c r="L6" s="26" t="str"/>
      <x:c r="M6" s="26" t="str"/>
      <x:c r="N6" s="26" t="str"/>
      <x:c r="O6" s="26" t="str"/>
    </x:row>
    <x:row r="7" ht="29" customHeight="1">
      <x:c r="A7" s="24" t="str">
        <x:v>A03</x:v>
      </x:c>
      <x:c r="B7" s="24" t="str">
        <x:v>Hùng</x:v>
      </x:c>
      <x:c r="C7" s="24" t="str">
        <x:v>Đăng nhập Google OIDC / liên kết identity an toàn</x:v>
      </x:c>
      <x:c r="D7" s="24" t="str">
        <x:v>v0.1.0</x:v>
      </x:c>
      <x:c r="E7" s="24" t="str">
        <x:v>W12</x:v>
      </x:c>
      <x:c r="F7" s="24" t="str">
        <x:v>Contract</x:v>
      </x:c>
      <x:c r="G7" s="24" t="str">
        <x:v>Build</x:v>
      </x:c>
      <x:c r="H7" s="24" t="str">
        <x:v>Integrate / Freeze</x:v>
      </x:c>
      <x:c r="I7" s="24" t="str">
        <x:v>UAT / Release</x:v>
      </x:c>
      <x:c r="J7" s="24" t="str"/>
      <x:c r="K7" s="24" t="str"/>
      <x:c r="L7" s="24" t="str"/>
      <x:c r="M7" s="24" t="str"/>
      <x:c r="N7" s="24" t="str"/>
      <x:c r="O7" s="24" t="str"/>
    </x:row>
    <x:row r="8" ht="29" customHeight="1">
      <x:c r="A8" s="26" t="str">
        <x:v>A04</x:v>
      </x:c>
      <x:c r="B8" s="26" t="str">
        <x:v>Hùng</x:v>
      </x:c>
      <x:c r="C8" s="26" t="str">
        <x:v>Quên mật khẩu → OTP → đặt mật khẩu mới</x:v>
      </x:c>
      <x:c r="D8" s="26" t="str">
        <x:v>v0.2.0</x:v>
      </x:c>
      <x:c r="E8" s="26" t="str">
        <x:v>W14</x:v>
      </x:c>
      <x:c r="F8" s="26" t="str"/>
      <x:c r="G8" s="26" t="str"/>
      <x:c r="H8" s="26" t="str"/>
      <x:c r="I8" s="26" t="str"/>
      <x:c r="J8" s="26" t="str">
        <x:v>Build + UAT</x:v>
      </x:c>
      <x:c r="K8" s="26" t="str"/>
      <x:c r="L8" s="26" t="str">
        <x:v>Release 20/11</x:v>
      </x:c>
      <x:c r="M8" s="26" t="str"/>
      <x:c r="N8" s="26" t="str"/>
      <x:c r="O8" s="26" t="str"/>
    </x:row>
    <x:row r="9" ht="29" customHeight="1">
      <x:c r="A9" s="24" t="str">
        <x:v>A05</x:v>
      </x:c>
      <x:c r="B9" s="24" t="str">
        <x:v>Hùng</x:v>
      </x:c>
      <x:c r="C9" s="24" t="str">
        <x:v>Đổi mật khẩu khi đã đăng nhập</x:v>
      </x:c>
      <x:c r="D9" s="24" t="str">
        <x:v>v0.2.0</x:v>
      </x:c>
      <x:c r="E9" s="24" t="str">
        <x:v>W14</x:v>
      </x:c>
      <x:c r="F9" s="24" t="str"/>
      <x:c r="G9" s="24" t="str"/>
      <x:c r="H9" s="24" t="str"/>
      <x:c r="I9" s="24" t="str"/>
      <x:c r="J9" s="24" t="str">
        <x:v>Build + UAT</x:v>
      </x:c>
      <x:c r="K9" s="24" t="str"/>
      <x:c r="L9" s="24" t="str">
        <x:v>Release 20/11</x:v>
      </x:c>
      <x:c r="M9" s="24" t="str"/>
      <x:c r="N9" s="24" t="str"/>
      <x:c r="O9" s="24" t="str"/>
    </x:row>
    <x:row r="10" ht="29" customHeight="1">
      <x:c r="A10" s="26" t="str">
        <x:v>A06</x:v>
      </x:c>
      <x:c r="B10" s="26" t="str">
        <x:v>Hùng</x:v>
      </x:c>
      <x:c r="C10" s="26" t="str">
        <x:v>Đăng xuất phiên hiện tại</x:v>
      </x:c>
      <x:c r="D10" s="26" t="str">
        <x:v>v0.1.0</x:v>
      </x:c>
      <x:c r="E10" s="26" t="str">
        <x:v>W11</x:v>
      </x:c>
      <x:c r="F10" s="26" t="str">
        <x:v>Fixture / Prep</x:v>
      </x:c>
      <x:c r="G10" s="26" t="str">
        <x:v>Build + Integrate</x:v>
      </x:c>
      <x:c r="H10" s="26" t="str">
        <x:v>Fix / Gate G3</x:v>
      </x:c>
      <x:c r="I10" s="26" t="str">
        <x:v>UAT / Release</x:v>
      </x:c>
      <x:c r="J10" s="26" t="str"/>
      <x:c r="K10" s="26" t="str"/>
      <x:c r="L10" s="26" t="str"/>
      <x:c r="M10" s="26" t="str"/>
      <x:c r="N10" s="26" t="str"/>
      <x:c r="O10" s="26" t="str"/>
    </x:row>
    <x:row r="11" ht="29" customHeight="1">
      <x:c r="A11" s="24" t="str">
        <x:v>A07</x:v>
      </x:c>
      <x:c r="B11" s="24" t="str">
        <x:v>Kiên</x:v>
      </x:c>
      <x:c r="C11" s="24" t="str">
        <x:v>Đăng xuất tất cả thiết bị</x:v>
      </x:c>
      <x:c r="D11" s="24" t="str">
        <x:v>v0.2.0</x:v>
      </x:c>
      <x:c r="E11" s="24" t="str">
        <x:v>W15</x:v>
      </x:c>
      <x:c r="F11" s="24" t="str"/>
      <x:c r="G11" s="24" t="str"/>
      <x:c r="H11" s="24" t="str"/>
      <x:c r="I11" s="24" t="str"/>
      <x:c r="J11" s="24" t="str">
        <x:v>Contract / Build</x:v>
      </x:c>
      <x:c r="K11" s="24" t="str">
        <x:v>Build + UAT</x:v>
      </x:c>
      <x:c r="L11" s="24" t="str">
        <x:v>Release 20/11</x:v>
      </x:c>
      <x:c r="M11" s="24" t="str"/>
      <x:c r="N11" s="24" t="str"/>
      <x:c r="O11" s="24" t="str"/>
    </x:row>
    <x:row r="12" ht="29" customHeight="1">
      <x:c r="A12" s="26" t="str">
        <x:v>A08</x:v>
      </x:c>
      <x:c r="B12" s="26" t="str">
        <x:v>Khải</x:v>
      </x:c>
      <x:c r="C12" s="26" t="str">
        <x:v>Xem / cập nhật hồ sơ cá nhân</x:v>
      </x:c>
      <x:c r="D12" s="26" t="str">
        <x:v>v0.1.0</x:v>
      </x:c>
      <x:c r="E12" s="26" t="str">
        <x:v>W12</x:v>
      </x:c>
      <x:c r="F12" s="26" t="str">
        <x:v>Contract</x:v>
      </x:c>
      <x:c r="G12" s="26" t="str">
        <x:v>Build</x:v>
      </x:c>
      <x:c r="H12" s="26" t="str">
        <x:v>Integrate / Freeze</x:v>
      </x:c>
      <x:c r="I12" s="26" t="str">
        <x:v>UAT / Release</x:v>
      </x:c>
      <x:c r="J12" s="26" t="str"/>
      <x:c r="K12" s="26" t="str"/>
      <x:c r="L12" s="26" t="str"/>
      <x:c r="M12" s="26" t="str"/>
      <x:c r="N12" s="26" t="str"/>
      <x:c r="O12" s="26" t="str"/>
    </x:row>
    <x:row r="13" ht="29" customHeight="1">
      <x:c r="A13" s="24" t="str">
        <x:v>S01</x:v>
      </x:c>
      <x:c r="B13" s="24" t="str">
        <x:v>Khải</x:v>
      </x:c>
      <x:c r="C13" s="24" t="str">
        <x:v>Guest Scan URL → RiskResult</x:v>
      </x:c>
      <x:c r="D13" s="24" t="str">
        <x:v>v0.1.0</x:v>
      </x:c>
      <x:c r="E13" s="24" t="str">
        <x:v>W11</x:v>
      </x:c>
      <x:c r="F13" s="24" t="str">
        <x:v>Fixture / Prep</x:v>
      </x:c>
      <x:c r="G13" s="24" t="str">
        <x:v>Build + Integrate</x:v>
      </x:c>
      <x:c r="H13" s="24" t="str">
        <x:v>Fix / Gate G3</x:v>
      </x:c>
      <x:c r="I13" s="24" t="str">
        <x:v>UAT / Release</x:v>
      </x:c>
      <x:c r="J13" s="24" t="str"/>
      <x:c r="K13" s="24" t="str"/>
      <x:c r="L13" s="24" t="str"/>
      <x:c r="M13" s="24" t="str"/>
      <x:c r="N13" s="24" t="str"/>
      <x:c r="O13" s="24" t="str"/>
    </x:row>
    <x:row r="14" ht="29" customHeight="1">
      <x:c r="A14" s="26" t="str">
        <x:v>S02</x:v>
      </x:c>
      <x:c r="B14" s="26" t="str">
        <x:v>Thắng</x:v>
      </x:c>
      <x:c r="C14" s="26" t="str">
        <x:v>Scan tin nhắn / bài đăng giao dịch</x:v>
      </x:c>
      <x:c r="D14" s="26" t="str">
        <x:v>v0.1.0</x:v>
      </x:c>
      <x:c r="E14" s="26" t="str">
        <x:v>W12</x:v>
      </x:c>
      <x:c r="F14" s="26" t="str">
        <x:v>Contract</x:v>
      </x:c>
      <x:c r="G14" s="26" t="str">
        <x:v>Build</x:v>
      </x:c>
      <x:c r="H14" s="26" t="str">
        <x:v>Integrate / Freeze</x:v>
      </x:c>
      <x:c r="I14" s="26" t="str">
        <x:v>UAT / Release</x:v>
      </x:c>
      <x:c r="J14" s="26" t="str"/>
      <x:c r="K14" s="26" t="str"/>
      <x:c r="L14" s="26" t="str"/>
      <x:c r="M14" s="26" t="str"/>
      <x:c r="N14" s="26" t="str"/>
      <x:c r="O14" s="26" t="str"/>
    </x:row>
    <x:row r="15" ht="29" customHeight="1">
      <x:c r="A15" s="24" t="str">
        <x:v>S03</x:v>
      </x:c>
      <x:c r="B15" s="24" t="str">
        <x:v>Kiên</x:v>
      </x:c>
      <x:c r="C15" s="24" t="str">
        <x:v>Kiểm tra reputation số điện thoại</x:v>
      </x:c>
      <x:c r="D15" s="24" t="str">
        <x:v>v0.1.0</x:v>
      </x:c>
      <x:c r="E15" s="24" t="str">
        <x:v>W12</x:v>
      </x:c>
      <x:c r="F15" s="24" t="str">
        <x:v>Contract</x:v>
      </x:c>
      <x:c r="G15" s="24" t="str">
        <x:v>Build</x:v>
      </x:c>
      <x:c r="H15" s="24" t="str">
        <x:v>Integrate / Freeze</x:v>
      </x:c>
      <x:c r="I15" s="24" t="str">
        <x:v>UAT / Release</x:v>
      </x:c>
      <x:c r="J15" s="24" t="str"/>
      <x:c r="K15" s="24" t="str"/>
      <x:c r="L15" s="24" t="str"/>
      <x:c r="M15" s="24" t="str"/>
      <x:c r="N15" s="24" t="str"/>
      <x:c r="O15" s="24" t="str"/>
    </x:row>
    <x:row r="16" ht="29" customHeight="1">
      <x:c r="A16" s="26" t="str">
        <x:v>S04</x:v>
      </x:c>
      <x:c r="B16" s="26" t="str">
        <x:v>Kiên</x:v>
      </x:c>
      <x:c r="C16" s="26" t="str">
        <x:v>Kiểm tra reputation tài khoản ngân hàng</x:v>
      </x:c>
      <x:c r="D16" s="26" t="str">
        <x:v>v0.1.0</x:v>
      </x:c>
      <x:c r="E16" s="26" t="str">
        <x:v>W12</x:v>
      </x:c>
      <x:c r="F16" s="26" t="str">
        <x:v>Contract</x:v>
      </x:c>
      <x:c r="G16" s="26" t="str">
        <x:v>Build</x:v>
      </x:c>
      <x:c r="H16" s="26" t="str">
        <x:v>Integrate / Freeze</x:v>
      </x:c>
      <x:c r="I16" s="26" t="str">
        <x:v>UAT / Release</x:v>
      </x:c>
      <x:c r="J16" s="26" t="str"/>
      <x:c r="K16" s="26" t="str"/>
      <x:c r="L16" s="26" t="str"/>
      <x:c r="M16" s="26" t="str"/>
      <x:c r="N16" s="26" t="str"/>
      <x:c r="O16" s="26" t="str"/>
    </x:row>
    <x:row r="17" ht="29" customHeight="1">
      <x:c r="A17" s="24" t="str">
        <x:v>S05</x:v>
      </x:c>
      <x:c r="B17" s="24" t="str">
        <x:v>Thắng</x:v>
      </x:c>
      <x:c r="C17" s="24" t="str">
        <x:v>Quét/upload QR/VietQR → nested scan</x:v>
      </x:c>
      <x:c r="D17" s="24" t="str">
        <x:v>v0.1.0</x:v>
      </x:c>
      <x:c r="E17" s="24" t="str">
        <x:v>W12</x:v>
      </x:c>
      <x:c r="F17" s="24" t="str">
        <x:v>Contract</x:v>
      </x:c>
      <x:c r="G17" s="24" t="str">
        <x:v>Build</x:v>
      </x:c>
      <x:c r="H17" s="24" t="str">
        <x:v>Integrate / Freeze</x:v>
      </x:c>
      <x:c r="I17" s="24" t="str">
        <x:v>UAT / Release</x:v>
      </x:c>
      <x:c r="J17" s="24" t="str"/>
      <x:c r="K17" s="24" t="str"/>
      <x:c r="L17" s="24" t="str"/>
      <x:c r="M17" s="24" t="str"/>
      <x:c r="N17" s="24" t="str"/>
      <x:c r="O17" s="24" t="str"/>
    </x:row>
    <x:row r="18" ht="29" customHeight="1">
      <x:c r="A18" s="26" t="str">
        <x:v>R01</x:v>
      </x:c>
      <x:c r="B18" s="26" t="str">
        <x:v>Kiên</x:v>
      </x:c>
      <x:c r="C18" s="26" t="str">
        <x:v>Theo dõi trạng thái scan đang xử lý</x:v>
      </x:c>
      <x:c r="D18" s="26" t="str">
        <x:v>v0.1.0</x:v>
      </x:c>
      <x:c r="E18" s="26" t="str">
        <x:v>W11</x:v>
      </x:c>
      <x:c r="F18" s="26" t="str">
        <x:v>Fixture / Prep</x:v>
      </x:c>
      <x:c r="G18" s="26" t="str">
        <x:v>Build + Integrate</x:v>
      </x:c>
      <x:c r="H18" s="26" t="str">
        <x:v>Fix / Gate G3</x:v>
      </x:c>
      <x:c r="I18" s="26" t="str">
        <x:v>UAT / Release</x:v>
      </x:c>
      <x:c r="J18" s="26" t="str"/>
      <x:c r="K18" s="26" t="str"/>
      <x:c r="L18" s="26" t="str"/>
      <x:c r="M18" s="26" t="str"/>
      <x:c r="N18" s="26" t="str"/>
      <x:c r="O18" s="26" t="str"/>
    </x:row>
    <x:row r="19" ht="29" customHeight="1">
      <x:c r="A19" s="24" t="str">
        <x:v>R02</x:v>
      </x:c>
      <x:c r="B19" s="24" t="str">
        <x:v>Thắng</x:v>
      </x:c>
      <x:c r="C19" s="24" t="str">
        <x:v>Xem kết quả scan chi tiết</x:v>
      </x:c>
      <x:c r="D19" s="24" t="str">
        <x:v>v0.1.0</x:v>
      </x:c>
      <x:c r="E19" s="24" t="str">
        <x:v>W11</x:v>
      </x:c>
      <x:c r="F19" s="24" t="str">
        <x:v>Fixture / Prep</x:v>
      </x:c>
      <x:c r="G19" s="24" t="str">
        <x:v>Build + Integrate</x:v>
      </x:c>
      <x:c r="H19" s="24" t="str">
        <x:v>Fix / Gate G3</x:v>
      </x:c>
      <x:c r="I19" s="24" t="str">
        <x:v>UAT / Release</x:v>
      </x:c>
      <x:c r="J19" s="24" t="str"/>
      <x:c r="K19" s="24" t="str"/>
      <x:c r="L19" s="24" t="str"/>
      <x:c r="M19" s="24" t="str"/>
      <x:c r="N19" s="24" t="str"/>
      <x:c r="O19" s="24" t="str"/>
    </x:row>
    <x:row r="20" ht="29" customHeight="1">
      <x:c r="A20" s="26" t="str">
        <x:v>R03</x:v>
      </x:c>
      <x:c r="B20" s="26" t="str">
        <x:v>Thắng</x:v>
      </x:c>
      <x:c r="C20" s="26" t="str">
        <x:v>Xem, lọc và phân trang lịch sử scan</x:v>
      </x:c>
      <x:c r="D20" s="26" t="str">
        <x:v>v0.1.0</x:v>
      </x:c>
      <x:c r="E20" s="26" t="str">
        <x:v>W12</x:v>
      </x:c>
      <x:c r="F20" s="26" t="str">
        <x:v>Contract</x:v>
      </x:c>
      <x:c r="G20" s="26" t="str">
        <x:v>Build</x:v>
      </x:c>
      <x:c r="H20" s="26" t="str">
        <x:v>Integrate / Freeze</x:v>
      </x:c>
      <x:c r="I20" s="26" t="str">
        <x:v>UAT / Release</x:v>
      </x:c>
      <x:c r="J20" s="26" t="str"/>
      <x:c r="K20" s="26" t="str"/>
      <x:c r="L20" s="26" t="str"/>
      <x:c r="M20" s="26" t="str"/>
      <x:c r="N20" s="26" t="str"/>
      <x:c r="O20" s="26" t="str"/>
    </x:row>
    <x:row r="21" ht="29" customHeight="1">
      <x:c r="A21" s="24" t="str">
        <x:v>R04</x:v>
      </x:c>
      <x:c r="B21" s="24" t="str">
        <x:v>Thắng</x:v>
      </x:c>
      <x:c r="C21" s="24" t="str">
        <x:v>Xuất kết quả scan PDF/HTML</x:v>
      </x:c>
      <x:c r="D21" s="24" t="str">
        <x:v>v0.1.0</x:v>
      </x:c>
      <x:c r="E21" s="24" t="str">
        <x:v>W12</x:v>
      </x:c>
      <x:c r="F21" s="24" t="str">
        <x:v>Contract</x:v>
      </x:c>
      <x:c r="G21" s="24" t="str">
        <x:v>Build</x:v>
      </x:c>
      <x:c r="H21" s="24" t="str">
        <x:v>Integrate / Freeze</x:v>
      </x:c>
      <x:c r="I21" s="24" t="str">
        <x:v>UAT / Release</x:v>
      </x:c>
      <x:c r="J21" s="24" t="str"/>
      <x:c r="K21" s="24" t="str"/>
      <x:c r="L21" s="24" t="str"/>
      <x:c r="M21" s="24" t="str"/>
      <x:c r="N21" s="24" t="str"/>
      <x:c r="O21" s="24" t="str"/>
    </x:row>
    <x:row r="22" ht="29" customHeight="1">
      <x:c r="A22" s="26" t="str">
        <x:v>R05</x:v>
      </x:c>
      <x:c r="B22" s="26" t="str">
        <x:v>Khải</x:v>
      </x:c>
      <x:c r="C22" s="26" t="str">
        <x:v>Chia sẻ kết quả scan theo chính sách quyền</x:v>
      </x:c>
      <x:c r="D22" s="26" t="str">
        <x:v>v0.3.0</x:v>
      </x:c>
      <x:c r="E22" s="26" t="str">
        <x:v>W17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>
        <x:v>Build + UAT</x:v>
      </x:c>
      <x:c r="N22" s="26" t="str"/>
      <x:c r="O22" s="26" t="str">
        <x:v>Release 11/12</x:v>
      </x:c>
    </x:row>
    <x:row r="23" ht="29" customHeight="1">
      <x:c r="A23" s="24" t="str">
        <x:v>C01</x:v>
      </x:c>
      <x:c r="B23" s="24" t="str">
        <x:v>Hùng</x:v>
      </x:c>
      <x:c r="C23" s="24" t="str">
        <x:v>Gửi báo cáo đối tượng nghi lừa đảo</x:v>
      </x:c>
      <x:c r="D23" s="24" t="str">
        <x:v>v0.1.0</x:v>
      </x:c>
      <x:c r="E23" s="24" t="str">
        <x:v>W11</x:v>
      </x:c>
      <x:c r="F23" s="24" t="str">
        <x:v>Fixture / Prep</x:v>
      </x:c>
      <x:c r="G23" s="24" t="str">
        <x:v>Build + Integrate</x:v>
      </x:c>
      <x:c r="H23" s="24" t="str">
        <x:v>Fix / Gate G3</x:v>
      </x:c>
      <x:c r="I23" s="24" t="str">
        <x:v>UAT / Release</x:v>
      </x:c>
      <x:c r="J23" s="24" t="str"/>
      <x:c r="K23" s="24" t="str"/>
      <x:c r="L23" s="24" t="str"/>
      <x:c r="M23" s="24" t="str"/>
      <x:c r="N23" s="24" t="str"/>
      <x:c r="O23" s="24" t="str"/>
    </x:row>
    <x:row r="24" ht="29" customHeight="1">
      <x:c r="A24" s="26" t="str">
        <x:v>C02</x:v>
      </x:c>
      <x:c r="B24" s="26" t="str">
        <x:v>Khải</x:v>
      </x:c>
      <x:c r="C24" s="26" t="str">
        <x:v>Xem trạng thái báo cáo đã gửi</x:v>
      </x:c>
      <x:c r="D24" s="26" t="str">
        <x:v>v0.2.0</x:v>
      </x:c>
      <x:c r="E24" s="26" t="str">
        <x:v>W14</x:v>
      </x:c>
      <x:c r="F24" s="26" t="str"/>
      <x:c r="G24" s="26" t="str"/>
      <x:c r="H24" s="26" t="str"/>
      <x:c r="I24" s="26" t="str"/>
      <x:c r="J24" s="26" t="str">
        <x:v>Build + UAT</x:v>
      </x:c>
      <x:c r="K24" s="26" t="str"/>
      <x:c r="L24" s="26" t="str">
        <x:v>Release 20/11</x:v>
      </x:c>
      <x:c r="M24" s="26" t="str"/>
      <x:c r="N24" s="26" t="str"/>
      <x:c r="O24" s="26" t="str"/>
    </x:row>
    <x:row r="25" ht="29" customHeight="1">
      <x:c r="A25" s="24" t="str">
        <x:v>C03</x:v>
      </x:c>
      <x:c r="B25" s="24" t="str">
        <x:v>Hùng</x:v>
      </x:c>
      <x:c r="C25" s="24" t="str">
        <x:v>Moderator xác minh / từ chối báo cáo</x:v>
      </x:c>
      <x:c r="D25" s="24" t="str">
        <x:v>v0.1.0</x:v>
      </x:c>
      <x:c r="E25" s="24" t="str">
        <x:v>W12</x:v>
      </x:c>
      <x:c r="F25" s="24" t="str">
        <x:v>Contract</x:v>
      </x:c>
      <x:c r="G25" s="24" t="str">
        <x:v>Build</x:v>
      </x:c>
      <x:c r="H25" s="24" t="str">
        <x:v>Integrate / Freeze</x:v>
      </x:c>
      <x:c r="I25" s="24" t="str">
        <x:v>UAT / Release</x:v>
      </x:c>
      <x:c r="J25" s="24" t="str"/>
      <x:c r="K25" s="24" t="str"/>
      <x:c r="L25" s="24" t="str"/>
      <x:c r="M25" s="24" t="str"/>
      <x:c r="N25" s="24" t="str"/>
      <x:c r="O25" s="24" t="str"/>
    </x:row>
    <x:row r="26" ht="29" customHeight="1">
      <x:c r="A26" s="26" t="str">
        <x:v>T01</x:v>
      </x:c>
      <x:c r="B26" s="26" t="str">
        <x:v>Khải</x:v>
      </x:c>
      <x:c r="C26" s="26" t="str">
        <x:v>Admin xem danh sách nguồn Threat Intelligence</x:v>
      </x:c>
      <x:c r="D26" s="26" t="str">
        <x:v>v0.1.0</x:v>
      </x:c>
      <x:c r="E26" s="26" t="str">
        <x:v>W12</x:v>
      </x:c>
      <x:c r="F26" s="26" t="str">
        <x:v>Contract</x:v>
      </x:c>
      <x:c r="G26" s="26" t="str">
        <x:v>Build</x:v>
      </x:c>
      <x:c r="H26" s="26" t="str">
        <x:v>Integrate / Freeze</x:v>
      </x:c>
      <x:c r="I26" s="26" t="str">
        <x:v>UAT / Release</x:v>
      </x:c>
      <x:c r="J26" s="26" t="str"/>
      <x:c r="K26" s="26" t="str"/>
      <x:c r="L26" s="26" t="str"/>
      <x:c r="M26" s="26" t="str"/>
      <x:c r="N26" s="26" t="str"/>
      <x:c r="O26" s="26" t="str"/>
    </x:row>
    <x:row r="27" ht="29" customHeight="1">
      <x:c r="A27" s="24" t="str">
        <x:v>T02</x:v>
      </x:c>
      <x:c r="B27" s="24" t="str">
        <x:v>Kiên</x:v>
      </x:c>
      <x:c r="C27" s="24" t="str">
        <x:v>Admin bật/tắt nguồn Threat Intelligence</x:v>
      </x:c>
      <x:c r="D27" s="24" t="str">
        <x:v>v0.2.0</x:v>
      </x:c>
      <x:c r="E27" s="24" t="str">
        <x:v>W14</x:v>
      </x:c>
      <x:c r="F27" s="24" t="str"/>
      <x:c r="G27" s="24" t="str"/>
      <x:c r="H27" s="24" t="str"/>
      <x:c r="I27" s="24" t="str"/>
      <x:c r="J27" s="24" t="str">
        <x:v>Build + UAT</x:v>
      </x:c>
      <x:c r="K27" s="24" t="str"/>
      <x:c r="L27" s="24" t="str">
        <x:v>Release 20/11</x:v>
      </x:c>
      <x:c r="M27" s="24" t="str"/>
      <x:c r="N27" s="24" t="str"/>
      <x:c r="O27" s="24" t="str"/>
    </x:row>
    <x:row r="28" ht="29" customHeight="1">
      <x:c r="A28" s="26" t="str">
        <x:v>T03</x:v>
      </x:c>
      <x:c r="B28" s="26" t="str">
        <x:v>Kiên</x:v>
      </x:c>
      <x:c r="C28" s="26" t="str">
        <x:v>Admin đồng bộ / import Threat Intelligence</x:v>
      </x:c>
      <x:c r="D28" s="26" t="str">
        <x:v>v0.1.0</x:v>
      </x:c>
      <x:c r="E28" s="26" t="str">
        <x:v>W12</x:v>
      </x:c>
      <x:c r="F28" s="26" t="str">
        <x:v>Contract</x:v>
      </x:c>
      <x:c r="G28" s="26" t="str">
        <x:v>Build</x:v>
      </x:c>
      <x:c r="H28" s="26" t="str">
        <x:v>Integrate / Freeze</x:v>
      </x:c>
      <x:c r="I28" s="26" t="str">
        <x:v>UAT / Release</x:v>
      </x:c>
      <x:c r="J28" s="26" t="str"/>
      <x:c r="K28" s="26" t="str"/>
      <x:c r="L28" s="26" t="str"/>
      <x:c r="M28" s="26" t="str"/>
      <x:c r="N28" s="26" t="str"/>
      <x:c r="O28" s="26" t="str"/>
    </x:row>
    <x:row r="29" ht="29" customHeight="1">
      <x:c r="A29" s="24" t="str">
        <x:v>T04</x:v>
      </x:c>
      <x:c r="B29" s="24" t="str">
        <x:v>Thắng</x:v>
      </x:c>
      <x:c r="C29" s="24" t="str">
        <x:v>Admin xem rules và lịch sử versions</x:v>
      </x:c>
      <x:c r="D29" s="24" t="str">
        <x:v>v0.2.0</x:v>
      </x:c>
      <x:c r="E29" s="24" t="str">
        <x:v>W15</x:v>
      </x:c>
      <x:c r="F29" s="24" t="str"/>
      <x:c r="G29" s="24" t="str"/>
      <x:c r="H29" s="24" t="str"/>
      <x:c r="I29" s="24" t="str"/>
      <x:c r="J29" s="24" t="str">
        <x:v>Contract / Build</x:v>
      </x:c>
      <x:c r="K29" s="24" t="str">
        <x:v>Build + UAT</x:v>
      </x:c>
      <x:c r="L29" s="24" t="str">
        <x:v>Release 20/11</x:v>
      </x:c>
      <x:c r="M29" s="24" t="str"/>
      <x:c r="N29" s="24" t="str"/>
      <x:c r="O29" s="24" t="str"/>
    </x:row>
    <x:row r="30" ht="29" customHeight="1">
      <x:c r="A30" s="26" t="str">
        <x:v>T05</x:v>
      </x:c>
      <x:c r="B30" s="26" t="str">
        <x:v>Kiên</x:v>
      </x:c>
      <x:c r="C30" s="26" t="str">
        <x:v>Admin tạo rule version mới</x:v>
      </x:c>
      <x:c r="D30" s="26" t="str">
        <x:v>v0.2.0</x:v>
      </x:c>
      <x:c r="E30" s="26" t="str">
        <x:v>W15</x:v>
      </x:c>
      <x:c r="F30" s="26" t="str"/>
      <x:c r="G30" s="26" t="str"/>
      <x:c r="H30" s="26" t="str"/>
      <x:c r="I30" s="26" t="str"/>
      <x:c r="J30" s="26" t="str">
        <x:v>Contract / Build</x:v>
      </x:c>
      <x:c r="K30" s="26" t="str">
        <x:v>Build + UAT</x:v>
      </x:c>
      <x:c r="L30" s="26" t="str">
        <x:v>Release 20/11</x:v>
      </x:c>
      <x:c r="M30" s="26" t="str"/>
      <x:c r="N30" s="26" t="str"/>
      <x:c r="O30" s="26" t="str"/>
    </x:row>
    <x:row r="31" ht="29" customHeight="1">
      <x:c r="A31" s="24" t="str">
        <x:v>T06</x:v>
      </x:c>
      <x:c r="B31" s="24" t="str">
        <x:v>Kiên</x:v>
      </x:c>
      <x:c r="C31" s="24" t="str">
        <x:v>Admin kích hoạt rule version → scan áp dụng rule mới</x:v>
      </x:c>
      <x:c r="D31" s="24" t="str">
        <x:v>v0.2.0</x:v>
      </x:c>
      <x:c r="E31" s="24" t="str">
        <x:v>W16</x:v>
      </x:c>
      <x:c r="F31" s="24" t="str"/>
      <x:c r="G31" s="24" t="str"/>
      <x:c r="H31" s="24" t="str"/>
      <x:c r="I31" s="24" t="str"/>
      <x:c r="J31" s="24" t="str"/>
      <x:c r="K31" s="24" t="str">
        <x:v>Contract / Build</x:v>
      </x:c>
      <x:c r="L31" s="24" t="str">
        <x:v>Release 20/11</x:v>
      </x:c>
      <x:c r="M31" s="24" t="str"/>
      <x:c r="N31" s="24" t="str"/>
      <x:c r="O31" s="24" t="str"/>
    </x:row>
    <x:row r="32" ht="29" customHeight="1">
      <x:c r="A32" s="26" t="str">
        <x:v>N01</x:v>
      </x:c>
      <x:c r="B32" s="26" t="str">
        <x:v>Khải</x:v>
      </x:c>
      <x:c r="C32" s="26" t="str">
        <x:v>Event → gửi notification tối thiểu</x:v>
      </x:c>
      <x:c r="D32" s="26" t="str">
        <x:v>v0.1.0</x:v>
      </x:c>
      <x:c r="E32" s="26" t="str">
        <x:v>W12</x:v>
      </x:c>
      <x:c r="F32" s="26" t="str">
        <x:v>Contract</x:v>
      </x:c>
      <x:c r="G32" s="26" t="str">
        <x:v>Build</x:v>
      </x:c>
      <x:c r="H32" s="26" t="str">
        <x:v>Integrate / Freeze</x:v>
      </x:c>
      <x:c r="I32" s="26" t="str">
        <x:v>UAT / Release</x:v>
      </x:c>
      <x:c r="J32" s="26" t="str"/>
      <x:c r="K32" s="26" t="str"/>
      <x:c r="L32" s="26" t="str"/>
      <x:c r="M32" s="26" t="str"/>
      <x:c r="N32" s="26" t="str"/>
      <x:c r="O32" s="26" t="str"/>
    </x:row>
    <x:row r="33" ht="29" customHeight="1">
      <x:c r="A33" s="24" t="str">
        <x:v>N02</x:v>
      </x:c>
      <x:c r="B33" s="24" t="str">
        <x:v>Thắng</x:v>
      </x:c>
      <x:c r="C33" s="24" t="str">
        <x:v>Người dùng xem notification center / read-unread</x:v>
      </x:c>
      <x:c r="D33" s="24" t="str">
        <x:v>v0.2.0</x:v>
      </x:c>
      <x:c r="E33" s="24" t="str">
        <x:v>W15</x:v>
      </x:c>
      <x:c r="F33" s="24" t="str"/>
      <x:c r="G33" s="24" t="str"/>
      <x:c r="H33" s="24" t="str"/>
      <x:c r="I33" s="24" t="str"/>
      <x:c r="J33" s="24" t="str">
        <x:v>Contract / Build</x:v>
      </x:c>
      <x:c r="K33" s="24" t="str">
        <x:v>Build + UAT</x:v>
      </x:c>
      <x:c r="L33" s="24" t="str">
        <x:v>Release 20/11</x:v>
      </x:c>
      <x:c r="M33" s="24" t="str"/>
      <x:c r="N33" s="24" t="str"/>
      <x:c r="O33" s="24" t="str"/>
    </x:row>
    <x:row r="34" ht="29" customHeight="1">
      <x:c r="A34" s="26" t="str">
        <x:v>N03</x:v>
      </x:c>
      <x:c r="B34" s="26" t="str">
        <x:v>Thắng</x:v>
      </x:c>
      <x:c r="C34" s="26" t="str">
        <x:v>Người dùng quản lý preferences notification</x:v>
      </x:c>
      <x:c r="D34" s="26" t="str">
        <x:v>v0.3.0</x:v>
      </x:c>
      <x:c r="E34" s="26" t="str">
        <x:v>W17</x:v>
      </x:c>
      <x:c r="F34" s="26" t="str"/>
      <x:c r="G34" s="26" t="str"/>
      <x:c r="H34" s="26" t="str"/>
      <x:c r="I34" s="26" t="str"/>
      <x:c r="J34" s="26" t="str"/>
      <x:c r="K34" s="26" t="str"/>
      <x:c r="L34" s="26" t="str"/>
      <x:c r="M34" s="26" t="str">
        <x:v>Build + UAT</x:v>
      </x:c>
      <x:c r="N34" s="26" t="str"/>
      <x:c r="O34" s="26" t="str">
        <x:v>Release 11/12</x:v>
      </x:c>
    </x:row>
    <x:row r="35" ht="29" customHeight="1">
      <x:c r="A35" s="24" t="str">
        <x:v>O01</x:v>
      </x:c>
      <x:c r="B35" s="24" t="str">
        <x:v>Khải</x:v>
      </x:c>
      <x:c r="C35" s="24" t="str">
        <x:v>Admin xem / lọc Audit Log</x:v>
      </x:c>
      <x:c r="D35" s="24" t="str">
        <x:v>v0.1.0</x:v>
      </x:c>
      <x:c r="E35" s="24" t="str">
        <x:v>W12</x:v>
      </x:c>
      <x:c r="F35" s="24" t="str">
        <x:v>Contract</x:v>
      </x:c>
      <x:c r="G35" s="24" t="str">
        <x:v>Build</x:v>
      </x:c>
      <x:c r="H35" s="24" t="str">
        <x:v>Integrate / Freeze</x:v>
      </x:c>
      <x:c r="I35" s="24" t="str">
        <x:v>UAT / Release</x:v>
      </x:c>
      <x:c r="J35" s="24" t="str"/>
      <x:c r="K35" s="24" t="str"/>
      <x:c r="L35" s="24" t="str"/>
      <x:c r="M35" s="24" t="str"/>
      <x:c r="N35" s="24" t="str"/>
      <x:c r="O35" s="24" t="str"/>
    </x:row>
    <x:row r="36" ht="29" customHeight="1">
      <x:c r="A36" s="26" t="str">
        <x:v>O02</x:v>
      </x:c>
      <x:c r="B36" s="26" t="str">
        <x:v>Khải</x:v>
      </x:c>
      <x:c r="C36" s="26" t="str">
        <x:v>Operator điều tra lỗi Scan/Worker/AI</x:v>
      </x:c>
      <x:c r="D36" s="26" t="str">
        <x:v>v0.2.0</x:v>
      </x:c>
      <x:c r="E36" s="26" t="str">
        <x:v>W15</x:v>
      </x:c>
      <x:c r="F36" s="26" t="str"/>
      <x:c r="G36" s="26" t="str"/>
      <x:c r="H36" s="26" t="str"/>
      <x:c r="I36" s="26" t="str"/>
      <x:c r="J36" s="26" t="str">
        <x:v>Contract / Build</x:v>
      </x:c>
      <x:c r="K36" s="26" t="str">
        <x:v>Build + UAT</x:v>
      </x:c>
      <x:c r="L36" s="26" t="str">
        <x:v>Release 20/11</x:v>
      </x:c>
      <x:c r="M36" s="26" t="str"/>
      <x:c r="N36" s="26" t="str"/>
      <x:c r="O36" s="26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43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30" hidden="0" customWidth="1"/>
    <x:col min="17" max="17" width="23" hidden="0" customWidth="1"/>
  </x:cols>
  <x:sheetData>
    <x:row r="1" ht="35" customHeight="1">
      <x:c r="A1" s="4" t="str">
        <x:v>WEEKLY TRACKER / ACTUAL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10" t="str">
        <x:v>Cập nhật mỗi thứ Hai/Thứ Năm/Thứ Bảy · mỗi ô tuần chọn Planned / Doing / Done / Blocked · actual tracking, độc lập với Weekly Plan.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 ht="29" customHeight="1">
      <x:c r="A4" s="17" t="str">
        <x:v>Flow ID</x:v>
      </x:c>
      <x:c r="B4" s="17" t="str">
        <x:v>Captain</x:v>
      </x:c>
      <x:c r="C4" s="17" t="str">
        <x:v>Flow</x:v>
      </x:c>
      <x:c r="D4" s="17" t="str">
        <x:v>Release</x:v>
      </x:c>
      <x:c r="E4" s="17" t="str">
        <x:v>W10</x:v>
      </x:c>
      <x:c r="F4" s="17" t="str">
        <x:v>W11</x:v>
      </x:c>
      <x:c r="G4" s="17" t="str">
        <x:v>W12</x:v>
      </x:c>
      <x:c r="H4" s="17" t="str">
        <x:v>W13</x:v>
      </x:c>
      <x:c r="I4" s="17" t="str">
        <x:v>W14</x:v>
      </x:c>
      <x:c r="J4" s="17" t="str">
        <x:v>W15</x:v>
      </x:c>
      <x:c r="K4" s="17" t="str">
        <x:v>W16</x:v>
      </x:c>
      <x:c r="L4" s="17" t="str">
        <x:v>W17</x:v>
      </x:c>
      <x:c r="M4" s="17" t="str">
        <x:v>W18</x:v>
      </x:c>
      <x:c r="N4" s="17" t="str">
        <x:v>W19</x:v>
      </x:c>
      <x:c r="O4" s="17" t="str">
        <x:v>Current Gate</x:v>
      </x:c>
      <x:c r="P4" s="17" t="str">
        <x:v>Blocker / Next Action</x:v>
      </x:c>
      <x:c r="Q4" s="17" t="str">
        <x:v>Updated by / date</x:v>
      </x:c>
    </x:row>
    <x:row r="5" ht="29" customHeight="1">
      <x:c r="A5" s="24" t="str">
        <x:v>A01</x:v>
      </x:c>
      <x:c r="B5" s="24" t="str">
        <x:v>Hùng</x:v>
      </x:c>
      <x:c r="C5" s="24" t="str">
        <x:v>Đăng ký tài khoản &amp; xác thực email OTP</x:v>
      </x:c>
      <x:c r="D5" s="24" t="str">
        <x:v>v0.1.0</x:v>
      </x:c>
      <x:c r="E5" s="24" t="str">
        <x:v>Planned</x:v>
      </x:c>
      <x:c r="F5" s="24" t="str">
        <x:v>Planned</x:v>
      </x:c>
      <x:c r="G5" s="24" t="str"/>
      <x:c r="H5" s="24" t="str">
        <x:v>Planned</x:v>
      </x:c>
      <x:c r="I5" s="24" t="str"/>
      <x:c r="J5" s="24" t="str"/>
      <x:c r="K5" s="24" t="str"/>
      <x:c r="L5" s="24" t="str"/>
      <x:c r="M5" s="24" t="str"/>
      <x:c r="N5" s="24" t="str"/>
      <x:c r="O5" s="24" t="str">
        <x:v>Unverified</x:v>
      </x:c>
      <x:c r="P5" s="24" t="str"/>
      <x:c r="Q5" s="24" t="str"/>
    </x:row>
    <x:row r="6" ht="29" customHeight="1">
      <x:c r="A6" s="26" t="str">
        <x:v>A02</x:v>
      </x:c>
      <x:c r="B6" s="26" t="str">
        <x:v>Hùng</x:v>
      </x:c>
      <x:c r="C6" s="26" t="str">
        <x:v>Đăng nhập bằng email / mật khẩu</x:v>
      </x:c>
      <x:c r="D6" s="26" t="str">
        <x:v>v0.1.0</x:v>
      </x:c>
      <x:c r="E6" s="26" t="str">
        <x:v>Planned</x:v>
      </x:c>
      <x:c r="F6" s="26" t="str">
        <x:v>Planned</x:v>
      </x:c>
      <x:c r="G6" s="26" t="str"/>
      <x:c r="H6" s="26" t="str">
        <x:v>Planned</x:v>
      </x:c>
      <x:c r="I6" s="26" t="str"/>
      <x:c r="J6" s="26" t="str"/>
      <x:c r="K6" s="26" t="str"/>
      <x:c r="L6" s="26" t="str"/>
      <x:c r="M6" s="26" t="str"/>
      <x:c r="N6" s="26" t="str"/>
      <x:c r="O6" s="26" t="str">
        <x:v>Unverified</x:v>
      </x:c>
      <x:c r="P6" s="26" t="str"/>
      <x:c r="Q6" s="26" t="str"/>
    </x:row>
    <x:row r="7" ht="29" customHeight="1">
      <x:c r="A7" s="24" t="str">
        <x:v>A03</x:v>
      </x:c>
      <x:c r="B7" s="24" t="str">
        <x:v>Hùng</x:v>
      </x:c>
      <x:c r="C7" s="24" t="str">
        <x:v>Đăng nhập Google OIDC / liên kết identity an toàn</x:v>
      </x:c>
      <x:c r="D7" s="24" t="str">
        <x:v>v0.1.0</x:v>
      </x:c>
      <x:c r="E7" s="24" t="str"/>
      <x:c r="F7" s="24" t="str">
        <x:v>Planned</x:v>
      </x:c>
      <x:c r="G7" s="24" t="str">
        <x:v>Planned</x:v>
      </x:c>
      <x:c r="H7" s="24" t="str">
        <x:v>Planned</x:v>
      </x:c>
      <x:c r="I7" s="24" t="str"/>
      <x:c r="J7" s="24" t="str"/>
      <x:c r="K7" s="24" t="str"/>
      <x:c r="L7" s="24" t="str"/>
      <x:c r="M7" s="24" t="str"/>
      <x:c r="N7" s="24" t="str"/>
      <x:c r="O7" s="24" t="str">
        <x:v>Unverified</x:v>
      </x:c>
      <x:c r="P7" s="24" t="str"/>
      <x:c r="Q7" s="24" t="str"/>
    </x:row>
    <x:row r="8" ht="29" customHeight="1">
      <x:c r="A8" s="26" t="str">
        <x:v>A04</x:v>
      </x:c>
      <x:c r="B8" s="26" t="str">
        <x:v>Hùng</x:v>
      </x:c>
      <x:c r="C8" s="26" t="str">
        <x:v>Quên mật khẩu → OTP → đặt mật khẩu mới</x:v>
      </x:c>
      <x:c r="D8" s="26" t="str">
        <x:v>v0.2.0</x:v>
      </x:c>
      <x:c r="E8" s="26" t="str"/>
      <x:c r="F8" s="26" t="str"/>
      <x:c r="G8" s="26" t="str"/>
      <x:c r="H8" s="26" t="str">
        <x:v>Planned</x:v>
      </x:c>
      <x:c r="I8" s="26" t="str">
        <x:v>Planned</x:v>
      </x:c>
      <x:c r="J8" s="26" t="str"/>
      <x:c r="K8" s="26" t="str">
        <x:v>Planned</x:v>
      </x:c>
      <x:c r="L8" s="26" t="str"/>
      <x:c r="M8" s="26" t="str"/>
      <x:c r="N8" s="26" t="str"/>
      <x:c r="O8" s="26" t="str">
        <x:v>Unverified</x:v>
      </x:c>
      <x:c r="P8" s="26" t="str"/>
      <x:c r="Q8" s="26" t="str"/>
    </x:row>
    <x:row r="9" ht="29" customHeight="1">
      <x:c r="A9" s="24" t="str">
        <x:v>A05</x:v>
      </x:c>
      <x:c r="B9" s="24" t="str">
        <x:v>Hùng</x:v>
      </x:c>
      <x:c r="C9" s="24" t="str">
        <x:v>Đổi mật khẩu khi đã đăng nhập</x:v>
      </x:c>
      <x:c r="D9" s="24" t="str">
        <x:v>v0.2.0</x:v>
      </x:c>
      <x:c r="E9" s="24" t="str"/>
      <x:c r="F9" s="24" t="str"/>
      <x:c r="G9" s="24" t="str"/>
      <x:c r="H9" s="24" t="str">
        <x:v>Planned</x:v>
      </x:c>
      <x:c r="I9" s="24" t="str">
        <x:v>Planned</x:v>
      </x:c>
      <x:c r="J9" s="24" t="str"/>
      <x:c r="K9" s="24" t="str">
        <x:v>Planned</x:v>
      </x:c>
      <x:c r="L9" s="24" t="str"/>
      <x:c r="M9" s="24" t="str"/>
      <x:c r="N9" s="24" t="str"/>
      <x:c r="O9" s="24" t="str">
        <x:v>Unverified</x:v>
      </x:c>
      <x:c r="P9" s="24" t="str"/>
      <x:c r="Q9" s="24" t="str"/>
    </x:row>
    <x:row r="10" ht="29" customHeight="1">
      <x:c r="A10" s="26" t="str">
        <x:v>A06</x:v>
      </x:c>
      <x:c r="B10" s="26" t="str">
        <x:v>Hùng</x:v>
      </x:c>
      <x:c r="C10" s="26" t="str">
        <x:v>Đăng xuất phiên hiện tại</x:v>
      </x:c>
      <x:c r="D10" s="26" t="str">
        <x:v>v0.1.0</x:v>
      </x:c>
      <x:c r="E10" s="26" t="str">
        <x:v>Planned</x:v>
      </x:c>
      <x:c r="F10" s="26" t="str">
        <x:v>Planned</x:v>
      </x:c>
      <x:c r="G10" s="26" t="str"/>
      <x:c r="H10" s="26" t="str">
        <x:v>Planned</x:v>
      </x:c>
      <x:c r="I10" s="26" t="str"/>
      <x:c r="J10" s="26" t="str"/>
      <x:c r="K10" s="26" t="str"/>
      <x:c r="L10" s="26" t="str"/>
      <x:c r="M10" s="26" t="str"/>
      <x:c r="N10" s="26" t="str"/>
      <x:c r="O10" s="26" t="str">
        <x:v>Unverified</x:v>
      </x:c>
      <x:c r="P10" s="26" t="str"/>
      <x:c r="Q10" s="26" t="str"/>
    </x:row>
    <x:row r="11" ht="29" customHeight="1">
      <x:c r="A11" s="24" t="str">
        <x:v>A07</x:v>
      </x:c>
      <x:c r="B11" s="24" t="str">
        <x:v>Kiên</x:v>
      </x:c>
      <x:c r="C11" s="24" t="str">
        <x:v>Đăng xuất tất cả thiết bị</x:v>
      </x:c>
      <x:c r="D11" s="24" t="str">
        <x:v>v0.2.0</x:v>
      </x:c>
      <x:c r="E11" s="24" t="str"/>
      <x:c r="F11" s="24" t="str"/>
      <x:c r="G11" s="24" t="str"/>
      <x:c r="H11" s="24" t="str"/>
      <x:c r="I11" s="24" t="str">
        <x:v>Planned</x:v>
      </x:c>
      <x:c r="J11" s="24" t="str">
        <x:v>Planned</x:v>
      </x:c>
      <x:c r="K11" s="24" t="str">
        <x:v>Planned</x:v>
      </x:c>
      <x:c r="L11" s="24" t="str"/>
      <x:c r="M11" s="24" t="str"/>
      <x:c r="N11" s="24" t="str"/>
      <x:c r="O11" s="24" t="str">
        <x:v>Unverified</x:v>
      </x:c>
      <x:c r="P11" s="24" t="str"/>
      <x:c r="Q11" s="24" t="str"/>
    </x:row>
    <x:row r="12" ht="29" customHeight="1">
      <x:c r="A12" s="26" t="str">
        <x:v>A08</x:v>
      </x:c>
      <x:c r="B12" s="26" t="str">
        <x:v>Khải</x:v>
      </x:c>
      <x:c r="C12" s="26" t="str">
        <x:v>Xem / cập nhật hồ sơ cá nhân</x:v>
      </x:c>
      <x:c r="D12" s="26" t="str">
        <x:v>v0.1.0</x:v>
      </x:c>
      <x:c r="E12" s="26" t="str"/>
      <x:c r="F12" s="26" t="str">
        <x:v>Planned</x:v>
      </x:c>
      <x:c r="G12" s="26" t="str">
        <x:v>Planned</x:v>
      </x:c>
      <x:c r="H12" s="26" t="str">
        <x:v>Planned</x:v>
      </x:c>
      <x:c r="I12" s="26" t="str"/>
      <x:c r="J12" s="26" t="str"/>
      <x:c r="K12" s="26" t="str"/>
      <x:c r="L12" s="26" t="str"/>
      <x:c r="M12" s="26" t="str"/>
      <x:c r="N12" s="26" t="str"/>
      <x:c r="O12" s="26" t="str">
        <x:v>Unverified</x:v>
      </x:c>
      <x:c r="P12" s="26" t="str"/>
      <x:c r="Q12" s="26" t="str"/>
    </x:row>
    <x:row r="13" ht="29" customHeight="1">
      <x:c r="A13" s="24" t="str">
        <x:v>S01</x:v>
      </x:c>
      <x:c r="B13" s="24" t="str">
        <x:v>Khải</x:v>
      </x:c>
      <x:c r="C13" s="24" t="str">
        <x:v>Guest Scan URL → RiskResult</x:v>
      </x:c>
      <x:c r="D13" s="24" t="str">
        <x:v>v0.1.0</x:v>
      </x:c>
      <x:c r="E13" s="24" t="str">
        <x:v>Planned</x:v>
      </x:c>
      <x:c r="F13" s="24" t="str">
        <x:v>Planned</x:v>
      </x:c>
      <x:c r="G13" s="24" t="str"/>
      <x:c r="H13" s="24" t="str">
        <x:v>Planned</x:v>
      </x:c>
      <x:c r="I13" s="24" t="str"/>
      <x:c r="J13" s="24" t="str"/>
      <x:c r="K13" s="24" t="str"/>
      <x:c r="L13" s="24" t="str"/>
      <x:c r="M13" s="24" t="str"/>
      <x:c r="N13" s="24" t="str"/>
      <x:c r="O13" s="24" t="str">
        <x:v>Unverified</x:v>
      </x:c>
      <x:c r="P13" s="24" t="str"/>
      <x:c r="Q13" s="24" t="str"/>
    </x:row>
    <x:row r="14" ht="29" customHeight="1">
      <x:c r="A14" s="26" t="str">
        <x:v>S02</x:v>
      </x:c>
      <x:c r="B14" s="26" t="str">
        <x:v>Thắng</x:v>
      </x:c>
      <x:c r="C14" s="26" t="str">
        <x:v>Scan tin nhắn / bài đăng giao dịch</x:v>
      </x:c>
      <x:c r="D14" s="26" t="str">
        <x:v>v0.1.0</x:v>
      </x:c>
      <x:c r="E14" s="26" t="str"/>
      <x:c r="F14" s="26" t="str">
        <x:v>Planned</x:v>
      </x:c>
      <x:c r="G14" s="26" t="str">
        <x:v>Planned</x:v>
      </x:c>
      <x:c r="H14" s="26" t="str">
        <x:v>Planned</x:v>
      </x:c>
      <x:c r="I14" s="26" t="str"/>
      <x:c r="J14" s="26" t="str"/>
      <x:c r="K14" s="26" t="str"/>
      <x:c r="L14" s="26" t="str"/>
      <x:c r="M14" s="26" t="str"/>
      <x:c r="N14" s="26" t="str"/>
      <x:c r="O14" s="26" t="str">
        <x:v>Unverified</x:v>
      </x:c>
      <x:c r="P14" s="26" t="str"/>
      <x:c r="Q14" s="26" t="str"/>
    </x:row>
    <x:row r="15" ht="29" customHeight="1">
      <x:c r="A15" s="24" t="str">
        <x:v>S03</x:v>
      </x:c>
      <x:c r="B15" s="24" t="str">
        <x:v>Kiên</x:v>
      </x:c>
      <x:c r="C15" s="24" t="str">
        <x:v>Kiểm tra reputation số điện thoại</x:v>
      </x:c>
      <x:c r="D15" s="24" t="str">
        <x:v>v0.1.0</x:v>
      </x:c>
      <x:c r="E15" s="24" t="str"/>
      <x:c r="F15" s="24" t="str">
        <x:v>Planned</x:v>
      </x:c>
      <x:c r="G15" s="24" t="str">
        <x:v>Planned</x:v>
      </x:c>
      <x:c r="H15" s="24" t="str">
        <x:v>Planned</x:v>
      </x:c>
      <x:c r="I15" s="24" t="str"/>
      <x:c r="J15" s="24" t="str"/>
      <x:c r="K15" s="24" t="str"/>
      <x:c r="L15" s="24" t="str"/>
      <x:c r="M15" s="24" t="str"/>
      <x:c r="N15" s="24" t="str"/>
      <x:c r="O15" s="24" t="str">
        <x:v>Unverified</x:v>
      </x:c>
      <x:c r="P15" s="24" t="str"/>
      <x:c r="Q15" s="24" t="str"/>
    </x:row>
    <x:row r="16" ht="29" customHeight="1">
      <x:c r="A16" s="26" t="str">
        <x:v>S04</x:v>
      </x:c>
      <x:c r="B16" s="26" t="str">
        <x:v>Kiên</x:v>
      </x:c>
      <x:c r="C16" s="26" t="str">
        <x:v>Kiểm tra reputation tài khoản ngân hàng</x:v>
      </x:c>
      <x:c r="D16" s="26" t="str">
        <x:v>v0.1.0</x:v>
      </x:c>
      <x:c r="E16" s="26" t="str"/>
      <x:c r="F16" s="26" t="str">
        <x:v>Planned</x:v>
      </x:c>
      <x:c r="G16" s="26" t="str">
        <x:v>Planned</x:v>
      </x:c>
      <x:c r="H16" s="26" t="str">
        <x:v>Planned</x:v>
      </x:c>
      <x:c r="I16" s="26" t="str"/>
      <x:c r="J16" s="26" t="str"/>
      <x:c r="K16" s="26" t="str"/>
      <x:c r="L16" s="26" t="str"/>
      <x:c r="M16" s="26" t="str"/>
      <x:c r="N16" s="26" t="str"/>
      <x:c r="O16" s="26" t="str">
        <x:v>Unverified</x:v>
      </x:c>
      <x:c r="P16" s="26" t="str"/>
      <x:c r="Q16" s="26" t="str"/>
    </x:row>
    <x:row r="17" ht="29" customHeight="1">
      <x:c r="A17" s="24" t="str">
        <x:v>S05</x:v>
      </x:c>
      <x:c r="B17" s="24" t="str">
        <x:v>Thắng</x:v>
      </x:c>
      <x:c r="C17" s="24" t="str">
        <x:v>Quét/upload QR/VietQR → nested scan</x:v>
      </x:c>
      <x:c r="D17" s="24" t="str">
        <x:v>v0.1.0</x:v>
      </x:c>
      <x:c r="E17" s="24" t="str"/>
      <x:c r="F17" s="24" t="str">
        <x:v>Planned</x:v>
      </x:c>
      <x:c r="G17" s="24" t="str">
        <x:v>Planned</x:v>
      </x:c>
      <x:c r="H17" s="24" t="str">
        <x:v>Planned</x:v>
      </x:c>
      <x:c r="I17" s="24" t="str"/>
      <x:c r="J17" s="24" t="str"/>
      <x:c r="K17" s="24" t="str"/>
      <x:c r="L17" s="24" t="str"/>
      <x:c r="M17" s="24" t="str"/>
      <x:c r="N17" s="24" t="str"/>
      <x:c r="O17" s="24" t="str">
        <x:v>Unverified</x:v>
      </x:c>
      <x:c r="P17" s="24" t="str"/>
      <x:c r="Q17" s="24" t="str"/>
    </x:row>
    <x:row r="18" ht="29" customHeight="1">
      <x:c r="A18" s="26" t="str">
        <x:v>R01</x:v>
      </x:c>
      <x:c r="B18" s="26" t="str">
        <x:v>Kiên</x:v>
      </x:c>
      <x:c r="C18" s="26" t="str">
        <x:v>Theo dõi trạng thái scan đang xử lý</x:v>
      </x:c>
      <x:c r="D18" s="26" t="str">
        <x:v>v0.1.0</x:v>
      </x:c>
      <x:c r="E18" s="26" t="str">
        <x:v>Planned</x:v>
      </x:c>
      <x:c r="F18" s="26" t="str">
        <x:v>Planned</x:v>
      </x:c>
      <x:c r="G18" s="26" t="str"/>
      <x:c r="H18" s="26" t="str">
        <x:v>Planned</x:v>
      </x:c>
      <x:c r="I18" s="26" t="str"/>
      <x:c r="J18" s="26" t="str"/>
      <x:c r="K18" s="26" t="str"/>
      <x:c r="L18" s="26" t="str"/>
      <x:c r="M18" s="26" t="str"/>
      <x:c r="N18" s="26" t="str"/>
      <x:c r="O18" s="26" t="str">
        <x:v>Unverified</x:v>
      </x:c>
      <x:c r="P18" s="26" t="str"/>
      <x:c r="Q18" s="26" t="str"/>
    </x:row>
    <x:row r="19" ht="29" customHeight="1">
      <x:c r="A19" s="24" t="str">
        <x:v>R02</x:v>
      </x:c>
      <x:c r="B19" s="24" t="str">
        <x:v>Thắng</x:v>
      </x:c>
      <x:c r="C19" s="24" t="str">
        <x:v>Xem kết quả scan chi tiết</x:v>
      </x:c>
      <x:c r="D19" s="24" t="str">
        <x:v>v0.1.0</x:v>
      </x:c>
      <x:c r="E19" s="24" t="str">
        <x:v>Planned</x:v>
      </x:c>
      <x:c r="F19" s="24" t="str">
        <x:v>Planned</x:v>
      </x:c>
      <x:c r="G19" s="24" t="str"/>
      <x:c r="H19" s="24" t="str">
        <x:v>Planned</x:v>
      </x:c>
      <x:c r="I19" s="24" t="str"/>
      <x:c r="J19" s="24" t="str"/>
      <x:c r="K19" s="24" t="str"/>
      <x:c r="L19" s="24" t="str"/>
      <x:c r="M19" s="24" t="str"/>
      <x:c r="N19" s="24" t="str"/>
      <x:c r="O19" s="24" t="str">
        <x:v>Unverified</x:v>
      </x:c>
      <x:c r="P19" s="24" t="str"/>
      <x:c r="Q19" s="24" t="str"/>
    </x:row>
    <x:row r="20" ht="29" customHeight="1">
      <x:c r="A20" s="26" t="str">
        <x:v>R03</x:v>
      </x:c>
      <x:c r="B20" s="26" t="str">
        <x:v>Thắng</x:v>
      </x:c>
      <x:c r="C20" s="26" t="str">
        <x:v>Xem, lọc và phân trang lịch sử scan</x:v>
      </x:c>
      <x:c r="D20" s="26" t="str">
        <x:v>v0.1.0</x:v>
      </x:c>
      <x:c r="E20" s="26" t="str"/>
      <x:c r="F20" s="26" t="str">
        <x:v>Planned</x:v>
      </x:c>
      <x:c r="G20" s="26" t="str">
        <x:v>Planned</x:v>
      </x:c>
      <x:c r="H20" s="26" t="str">
        <x:v>Planned</x:v>
      </x:c>
      <x:c r="I20" s="26" t="str"/>
      <x:c r="J20" s="26" t="str"/>
      <x:c r="K20" s="26" t="str"/>
      <x:c r="L20" s="26" t="str"/>
      <x:c r="M20" s="26" t="str"/>
      <x:c r="N20" s="26" t="str"/>
      <x:c r="O20" s="26" t="str">
        <x:v>Unverified</x:v>
      </x:c>
      <x:c r="P20" s="26" t="str"/>
      <x:c r="Q20" s="26" t="str"/>
    </x:row>
    <x:row r="21" ht="29" customHeight="1">
      <x:c r="A21" s="24" t="str">
        <x:v>R04</x:v>
      </x:c>
      <x:c r="B21" s="24" t="str">
        <x:v>Thắng</x:v>
      </x:c>
      <x:c r="C21" s="24" t="str">
        <x:v>Xuất kết quả scan PDF/HTML</x:v>
      </x:c>
      <x:c r="D21" s="24" t="str">
        <x:v>v0.1.0</x:v>
      </x:c>
      <x:c r="E21" s="24" t="str"/>
      <x:c r="F21" s="24" t="str">
        <x:v>Planned</x:v>
      </x:c>
      <x:c r="G21" s="24" t="str">
        <x:v>Planned</x:v>
      </x:c>
      <x:c r="H21" s="24" t="str">
        <x:v>Planned</x:v>
      </x:c>
      <x:c r="I21" s="24" t="str"/>
      <x:c r="J21" s="24" t="str"/>
      <x:c r="K21" s="24" t="str"/>
      <x:c r="L21" s="24" t="str"/>
      <x:c r="M21" s="24" t="str"/>
      <x:c r="N21" s="24" t="str"/>
      <x:c r="O21" s="24" t="str">
        <x:v>Unverified</x:v>
      </x:c>
      <x:c r="P21" s="24" t="str"/>
      <x:c r="Q21" s="24" t="str"/>
    </x:row>
    <x:row r="22" ht="29" customHeight="1">
      <x:c r="A22" s="26" t="str">
        <x:v>R05</x:v>
      </x:c>
      <x:c r="B22" s="26" t="str">
        <x:v>Khải</x:v>
      </x:c>
      <x:c r="C22" s="26" t="str">
        <x:v>Chia sẻ kết quả scan theo chính sách quyền</x:v>
      </x:c>
      <x:c r="D22" s="26" t="str">
        <x:v>v0.3.0</x:v>
      </x:c>
      <x:c r="E22" s="26" t="str"/>
      <x:c r="F22" s="26" t="str"/>
      <x:c r="G22" s="26" t="str"/>
      <x:c r="H22" s="26" t="str"/>
      <x:c r="I22" s="26" t="str"/>
      <x:c r="J22" s="26" t="str"/>
      <x:c r="K22" s="26" t="str">
        <x:v>Planned</x:v>
      </x:c>
      <x:c r="L22" s="26" t="str">
        <x:v>Planned</x:v>
      </x:c>
      <x:c r="M22" s="26" t="str"/>
      <x:c r="N22" s="26" t="str">
        <x:v>Planned</x:v>
      </x:c>
      <x:c r="O22" s="26" t="str">
        <x:v>Unverified</x:v>
      </x:c>
      <x:c r="P22" s="26" t="str"/>
      <x:c r="Q22" s="26" t="str"/>
    </x:row>
    <x:row r="23" ht="29" customHeight="1">
      <x:c r="A23" s="24" t="str">
        <x:v>C01</x:v>
      </x:c>
      <x:c r="B23" s="24" t="str">
        <x:v>Hùng</x:v>
      </x:c>
      <x:c r="C23" s="24" t="str">
        <x:v>Gửi báo cáo đối tượng nghi lừa đảo</x:v>
      </x:c>
      <x:c r="D23" s="24" t="str">
        <x:v>v0.1.0</x:v>
      </x:c>
      <x:c r="E23" s="24" t="str">
        <x:v>Planned</x:v>
      </x:c>
      <x:c r="F23" s="24" t="str">
        <x:v>Planned</x:v>
      </x:c>
      <x:c r="G23" s="24" t="str"/>
      <x:c r="H23" s="24" t="str">
        <x:v>Planned</x:v>
      </x:c>
      <x:c r="I23" s="24" t="str"/>
      <x:c r="J23" s="24" t="str"/>
      <x:c r="K23" s="24" t="str"/>
      <x:c r="L23" s="24" t="str"/>
      <x:c r="M23" s="24" t="str"/>
      <x:c r="N23" s="24" t="str"/>
      <x:c r="O23" s="24" t="str">
        <x:v>Unverified</x:v>
      </x:c>
      <x:c r="P23" s="24" t="str"/>
      <x:c r="Q23" s="24" t="str"/>
    </x:row>
    <x:row r="24" ht="29" customHeight="1">
      <x:c r="A24" s="26" t="str">
        <x:v>C02</x:v>
      </x:c>
      <x:c r="B24" s="26" t="str">
        <x:v>Khải</x:v>
      </x:c>
      <x:c r="C24" s="26" t="str">
        <x:v>Xem trạng thái báo cáo đã gửi</x:v>
      </x:c>
      <x:c r="D24" s="26" t="str">
        <x:v>v0.2.0</x:v>
      </x:c>
      <x:c r="E24" s="26" t="str"/>
      <x:c r="F24" s="26" t="str"/>
      <x:c r="G24" s="26" t="str"/>
      <x:c r="H24" s="26" t="str">
        <x:v>Planned</x:v>
      </x:c>
      <x:c r="I24" s="26" t="str">
        <x:v>Planned</x:v>
      </x:c>
      <x:c r="J24" s="26" t="str"/>
      <x:c r="K24" s="26" t="str">
        <x:v>Planned</x:v>
      </x:c>
      <x:c r="L24" s="26" t="str"/>
      <x:c r="M24" s="26" t="str"/>
      <x:c r="N24" s="26" t="str"/>
      <x:c r="O24" s="26" t="str">
        <x:v>Unverified</x:v>
      </x:c>
      <x:c r="P24" s="26" t="str"/>
      <x:c r="Q24" s="26" t="str"/>
    </x:row>
    <x:row r="25" ht="29" customHeight="1">
      <x:c r="A25" s="24" t="str">
        <x:v>C03</x:v>
      </x:c>
      <x:c r="B25" s="24" t="str">
        <x:v>Hùng</x:v>
      </x:c>
      <x:c r="C25" s="24" t="str">
        <x:v>Moderator xác minh / từ chối báo cáo</x:v>
      </x:c>
      <x:c r="D25" s="24" t="str">
        <x:v>v0.1.0</x:v>
      </x:c>
      <x:c r="E25" s="24" t="str"/>
      <x:c r="F25" s="24" t="str">
        <x:v>Planned</x:v>
      </x:c>
      <x:c r="G25" s="24" t="str">
        <x:v>Planned</x:v>
      </x:c>
      <x:c r="H25" s="24" t="str">
        <x:v>Planned</x:v>
      </x:c>
      <x:c r="I25" s="24" t="str"/>
      <x:c r="J25" s="24" t="str"/>
      <x:c r="K25" s="24" t="str"/>
      <x:c r="L25" s="24" t="str"/>
      <x:c r="M25" s="24" t="str"/>
      <x:c r="N25" s="24" t="str"/>
      <x:c r="O25" s="24" t="str">
        <x:v>Unverified</x:v>
      </x:c>
      <x:c r="P25" s="24" t="str"/>
      <x:c r="Q25" s="24" t="str"/>
    </x:row>
    <x:row r="26" ht="29" customHeight="1">
      <x:c r="A26" s="26" t="str">
        <x:v>T01</x:v>
      </x:c>
      <x:c r="B26" s="26" t="str">
        <x:v>Khải</x:v>
      </x:c>
      <x:c r="C26" s="26" t="str">
        <x:v>Admin xem danh sách nguồn Threat Intelligence</x:v>
      </x:c>
      <x:c r="D26" s="26" t="str">
        <x:v>v0.1.0</x:v>
      </x:c>
      <x:c r="E26" s="26" t="str"/>
      <x:c r="F26" s="26" t="str">
        <x:v>Planned</x:v>
      </x:c>
      <x:c r="G26" s="26" t="str">
        <x:v>Planned</x:v>
      </x:c>
      <x:c r="H26" s="26" t="str">
        <x:v>Planned</x:v>
      </x:c>
      <x:c r="I26" s="26" t="str"/>
      <x:c r="J26" s="26" t="str"/>
      <x:c r="K26" s="26" t="str"/>
      <x:c r="L26" s="26" t="str"/>
      <x:c r="M26" s="26" t="str"/>
      <x:c r="N26" s="26" t="str"/>
      <x:c r="O26" s="26" t="str">
        <x:v>Unverified</x:v>
      </x:c>
      <x:c r="P26" s="26" t="str"/>
      <x:c r="Q26" s="26" t="str"/>
    </x:row>
    <x:row r="27" ht="29" customHeight="1">
      <x:c r="A27" s="24" t="str">
        <x:v>T02</x:v>
      </x:c>
      <x:c r="B27" s="24" t="str">
        <x:v>Kiên</x:v>
      </x:c>
      <x:c r="C27" s="24" t="str">
        <x:v>Admin bật/tắt nguồn Threat Intelligence</x:v>
      </x:c>
      <x:c r="D27" s="24" t="str">
        <x:v>v0.2.0</x:v>
      </x:c>
      <x:c r="E27" s="24" t="str"/>
      <x:c r="F27" s="24" t="str"/>
      <x:c r="G27" s="24" t="str"/>
      <x:c r="H27" s="24" t="str">
        <x:v>Planned</x:v>
      </x:c>
      <x:c r="I27" s="24" t="str">
        <x:v>Planned</x:v>
      </x:c>
      <x:c r="J27" s="24" t="str"/>
      <x:c r="K27" s="24" t="str">
        <x:v>Planned</x:v>
      </x:c>
      <x:c r="L27" s="24" t="str"/>
      <x:c r="M27" s="24" t="str"/>
      <x:c r="N27" s="24" t="str"/>
      <x:c r="O27" s="24" t="str">
        <x:v>Unverified</x:v>
      </x:c>
      <x:c r="P27" s="24" t="str"/>
      <x:c r="Q27" s="24" t="str"/>
    </x:row>
    <x:row r="28" ht="29" customHeight="1">
      <x:c r="A28" s="26" t="str">
        <x:v>T03</x:v>
      </x:c>
      <x:c r="B28" s="26" t="str">
        <x:v>Kiên</x:v>
      </x:c>
      <x:c r="C28" s="26" t="str">
        <x:v>Admin đồng bộ / import Threat Intelligence</x:v>
      </x:c>
      <x:c r="D28" s="26" t="str">
        <x:v>v0.1.0</x:v>
      </x:c>
      <x:c r="E28" s="26" t="str"/>
      <x:c r="F28" s="26" t="str">
        <x:v>Planned</x:v>
      </x:c>
      <x:c r="G28" s="26" t="str">
        <x:v>Planned</x:v>
      </x:c>
      <x:c r="H28" s="26" t="str">
        <x:v>Planned</x:v>
      </x:c>
      <x:c r="I28" s="26" t="str"/>
      <x:c r="J28" s="26" t="str"/>
      <x:c r="K28" s="26" t="str"/>
      <x:c r="L28" s="26" t="str"/>
      <x:c r="M28" s="26" t="str"/>
      <x:c r="N28" s="26" t="str"/>
      <x:c r="O28" s="26" t="str">
        <x:v>Unverified</x:v>
      </x:c>
      <x:c r="P28" s="26" t="str"/>
      <x:c r="Q28" s="26" t="str"/>
    </x:row>
    <x:row r="29" ht="29" customHeight="1">
      <x:c r="A29" s="24" t="str">
        <x:v>T04</x:v>
      </x:c>
      <x:c r="B29" s="24" t="str">
        <x:v>Thắng</x:v>
      </x:c>
      <x:c r="C29" s="24" t="str">
        <x:v>Admin xem rules và lịch sử versions</x:v>
      </x:c>
      <x:c r="D29" s="24" t="str">
        <x:v>v0.2.0</x:v>
      </x:c>
      <x:c r="E29" s="24" t="str"/>
      <x:c r="F29" s="24" t="str"/>
      <x:c r="G29" s="24" t="str"/>
      <x:c r="H29" s="24" t="str"/>
      <x:c r="I29" s="24" t="str">
        <x:v>Planned</x:v>
      </x:c>
      <x:c r="J29" s="24" t="str">
        <x:v>Planned</x:v>
      </x:c>
      <x:c r="K29" s="24" t="str">
        <x:v>Planned</x:v>
      </x:c>
      <x:c r="L29" s="24" t="str"/>
      <x:c r="M29" s="24" t="str"/>
      <x:c r="N29" s="24" t="str"/>
      <x:c r="O29" s="24" t="str">
        <x:v>Unverified</x:v>
      </x:c>
      <x:c r="P29" s="24" t="str"/>
      <x:c r="Q29" s="24" t="str"/>
    </x:row>
    <x:row r="30" ht="29" customHeight="1">
      <x:c r="A30" s="26" t="str">
        <x:v>T05</x:v>
      </x:c>
      <x:c r="B30" s="26" t="str">
        <x:v>Kiên</x:v>
      </x:c>
      <x:c r="C30" s="26" t="str">
        <x:v>Admin tạo rule version mới</x:v>
      </x:c>
      <x:c r="D30" s="26" t="str">
        <x:v>v0.2.0</x:v>
      </x:c>
      <x:c r="E30" s="26" t="str"/>
      <x:c r="F30" s="26" t="str"/>
      <x:c r="G30" s="26" t="str"/>
      <x:c r="H30" s="26" t="str"/>
      <x:c r="I30" s="26" t="str">
        <x:v>Planned</x:v>
      </x:c>
      <x:c r="J30" s="26" t="str">
        <x:v>Planned</x:v>
      </x:c>
      <x:c r="K30" s="26" t="str">
        <x:v>Planned</x:v>
      </x:c>
      <x:c r="L30" s="26" t="str"/>
      <x:c r="M30" s="26" t="str"/>
      <x:c r="N30" s="26" t="str"/>
      <x:c r="O30" s="26" t="str">
        <x:v>Unverified</x:v>
      </x:c>
      <x:c r="P30" s="26" t="str"/>
      <x:c r="Q30" s="26" t="str"/>
    </x:row>
    <x:row r="31" ht="29" customHeight="1">
      <x:c r="A31" s="24" t="str">
        <x:v>T06</x:v>
      </x:c>
      <x:c r="B31" s="24" t="str">
        <x:v>Kiên</x:v>
      </x:c>
      <x:c r="C31" s="24" t="str">
        <x:v>Admin kích hoạt rule version → scan áp dụng rule mới</x:v>
      </x:c>
      <x:c r="D31" s="24" t="str">
        <x:v>v0.2.0</x:v>
      </x:c>
      <x:c r="E31" s="24" t="str"/>
      <x:c r="F31" s="24" t="str"/>
      <x:c r="G31" s="24" t="str"/>
      <x:c r="H31" s="24" t="str"/>
      <x:c r="I31" s="24" t="str"/>
      <x:c r="J31" s="24" t="str">
        <x:v>Planned</x:v>
      </x:c>
      <x:c r="K31" s="24" t="str">
        <x:v>Planned</x:v>
      </x:c>
      <x:c r="L31" s="24" t="str"/>
      <x:c r="M31" s="24" t="str"/>
      <x:c r="N31" s="24" t="str"/>
      <x:c r="O31" s="24" t="str">
        <x:v>Unverified</x:v>
      </x:c>
      <x:c r="P31" s="24" t="str"/>
      <x:c r="Q31" s="24" t="str"/>
    </x:row>
    <x:row r="32" ht="29" customHeight="1">
      <x:c r="A32" s="26" t="str">
        <x:v>N01</x:v>
      </x:c>
      <x:c r="B32" s="26" t="str">
        <x:v>Khải</x:v>
      </x:c>
      <x:c r="C32" s="26" t="str">
        <x:v>Event → gửi notification tối thiểu</x:v>
      </x:c>
      <x:c r="D32" s="26" t="str">
        <x:v>v0.1.0</x:v>
      </x:c>
      <x:c r="E32" s="26" t="str"/>
      <x:c r="F32" s="26" t="str">
        <x:v>Planned</x:v>
      </x:c>
      <x:c r="G32" s="26" t="str">
        <x:v>Planned</x:v>
      </x:c>
      <x:c r="H32" s="26" t="str">
        <x:v>Planned</x:v>
      </x:c>
      <x:c r="I32" s="26" t="str"/>
      <x:c r="J32" s="26" t="str"/>
      <x:c r="K32" s="26" t="str"/>
      <x:c r="L32" s="26" t="str"/>
      <x:c r="M32" s="26" t="str"/>
      <x:c r="N32" s="26" t="str"/>
      <x:c r="O32" s="26" t="str">
        <x:v>Unverified</x:v>
      </x:c>
      <x:c r="P32" s="26" t="str"/>
      <x:c r="Q32" s="26" t="str"/>
    </x:row>
    <x:row r="33" ht="29" customHeight="1">
      <x:c r="A33" s="24" t="str">
        <x:v>N02</x:v>
      </x:c>
      <x:c r="B33" s="24" t="str">
        <x:v>Thắng</x:v>
      </x:c>
      <x:c r="C33" s="24" t="str">
        <x:v>Người dùng xem notification center / read-unread</x:v>
      </x:c>
      <x:c r="D33" s="24" t="str">
        <x:v>v0.2.0</x:v>
      </x:c>
      <x:c r="E33" s="24" t="str"/>
      <x:c r="F33" s="24" t="str"/>
      <x:c r="G33" s="24" t="str"/>
      <x:c r="H33" s="24" t="str"/>
      <x:c r="I33" s="24" t="str">
        <x:v>Planned</x:v>
      </x:c>
      <x:c r="J33" s="24" t="str">
        <x:v>Planned</x:v>
      </x:c>
      <x:c r="K33" s="24" t="str">
        <x:v>Planned</x:v>
      </x:c>
      <x:c r="L33" s="24" t="str"/>
      <x:c r="M33" s="24" t="str"/>
      <x:c r="N33" s="24" t="str"/>
      <x:c r="O33" s="24" t="str">
        <x:v>Unverified</x:v>
      </x:c>
      <x:c r="P33" s="24" t="str"/>
      <x:c r="Q33" s="24" t="str"/>
    </x:row>
    <x:row r="34" ht="29" customHeight="1">
      <x:c r="A34" s="26" t="str">
        <x:v>N03</x:v>
      </x:c>
      <x:c r="B34" s="26" t="str">
        <x:v>Thắng</x:v>
      </x:c>
      <x:c r="C34" s="26" t="str">
        <x:v>Người dùng quản lý preferences notification</x:v>
      </x:c>
      <x:c r="D34" s="26" t="str">
        <x:v>v0.3.0</x:v>
      </x:c>
      <x:c r="E34" s="26" t="str"/>
      <x:c r="F34" s="26" t="str"/>
      <x:c r="G34" s="26" t="str"/>
      <x:c r="H34" s="26" t="str"/>
      <x:c r="I34" s="26" t="str"/>
      <x:c r="J34" s="26" t="str"/>
      <x:c r="K34" s="26" t="str">
        <x:v>Planned</x:v>
      </x:c>
      <x:c r="L34" s="26" t="str">
        <x:v>Planned</x:v>
      </x:c>
      <x:c r="M34" s="26" t="str"/>
      <x:c r="N34" s="26" t="str">
        <x:v>Planned</x:v>
      </x:c>
      <x:c r="O34" s="26" t="str">
        <x:v>Unverified</x:v>
      </x:c>
      <x:c r="P34" s="26" t="str"/>
      <x:c r="Q34" s="26" t="str"/>
    </x:row>
    <x:row r="35" ht="29" customHeight="1">
      <x:c r="A35" s="24" t="str">
        <x:v>O01</x:v>
      </x:c>
      <x:c r="B35" s="24" t="str">
        <x:v>Khải</x:v>
      </x:c>
      <x:c r="C35" s="24" t="str">
        <x:v>Admin xem / lọc Audit Log</x:v>
      </x:c>
      <x:c r="D35" s="24" t="str">
        <x:v>v0.1.0</x:v>
      </x:c>
      <x:c r="E35" s="24" t="str"/>
      <x:c r="F35" s="24" t="str">
        <x:v>Planned</x:v>
      </x:c>
      <x:c r="G35" s="24" t="str">
        <x:v>Planned</x:v>
      </x:c>
      <x:c r="H35" s="24" t="str">
        <x:v>Planned</x:v>
      </x:c>
      <x:c r="I35" s="24" t="str"/>
      <x:c r="J35" s="24" t="str"/>
      <x:c r="K35" s="24" t="str"/>
      <x:c r="L35" s="24" t="str"/>
      <x:c r="M35" s="24" t="str"/>
      <x:c r="N35" s="24" t="str"/>
      <x:c r="O35" s="24" t="str">
        <x:v>Unverified</x:v>
      </x:c>
      <x:c r="P35" s="24" t="str"/>
      <x:c r="Q35" s="24" t="str"/>
    </x:row>
    <x:row r="36" ht="29" customHeight="1">
      <x:c r="A36" s="26" t="str">
        <x:v>O02</x:v>
      </x:c>
      <x:c r="B36" s="26" t="str">
        <x:v>Khải</x:v>
      </x:c>
      <x:c r="C36" s="26" t="str">
        <x:v>Operator điều tra lỗi Scan/Worker/AI</x:v>
      </x:c>
      <x:c r="D36" s="26" t="str">
        <x:v>v0.2.0</x:v>
      </x:c>
      <x:c r="E36" s="26" t="str"/>
      <x:c r="F36" s="26" t="str"/>
      <x:c r="G36" s="26" t="str"/>
      <x:c r="H36" s="26" t="str"/>
      <x:c r="I36" s="26" t="str">
        <x:v>Planned</x:v>
      </x:c>
      <x:c r="J36" s="26" t="str">
        <x:v>Planned</x:v>
      </x:c>
      <x:c r="K36" s="26" t="str">
        <x:v>Planned</x:v>
      </x:c>
      <x:c r="L36" s="26" t="str"/>
      <x:c r="M36" s="26" t="str"/>
      <x:c r="N36" s="26" t="str"/>
      <x:c r="O36" s="26" t="str">
        <x:v>Unverified</x:v>
      </x:c>
      <x:c r="P36" s="26" t="str"/>
      <x:c r="Q36" s="26" t="str"/>
    </x:row>
  </x:sheetData>
  <x:mergeCells>
    <x:mergeCell ref="A1:Q1"/>
    <x:mergeCell ref="A2:Q2"/>
  </x:mergeCells>
  <x:conditionalFormatting sqref="E5:E36">
    <x:cfRule type="expression" dxfId="24" priority="1">
      <x:formula>E5="Done"</x:formula>
    </x:cfRule>
    <x:cfRule type="expression" dxfId="25" priority="2">
      <x:formula>E5="PASS"</x:formula>
    </x:cfRule>
    <x:cfRule type="expression" dxfId="26" priority="3">
      <x:formula>E5="G5"</x:formula>
    </x:cfRule>
    <x:cfRule type="expression" dxfId="27" priority="4">
      <x:formula>E5="Blocked"</x:formula>
    </x:cfRule>
    <x:cfRule type="expression" dxfId="28" priority="5">
      <x:formula>E5="FAIL"</x:formula>
    </x:cfRule>
    <x:cfRule type="expression" dxfId="29" priority="6">
      <x:formula>E5="Not Started"</x:formula>
    </x:cfRule>
    <x:cfRule type="expression" dxfId="30" priority="7">
      <x:formula>E5="In Progress"</x:formula>
    </x:cfRule>
    <x:cfRule type="expression" dxfId="31" priority="8">
      <x:formula>E5="Doing"</x:formula>
    </x:cfRule>
  </x:conditionalFormatting>
  <x:conditionalFormatting sqref="F5:F36">
    <x:cfRule type="expression" dxfId="32" priority="9">
      <x:formula>F5="Done"</x:formula>
    </x:cfRule>
    <x:cfRule type="expression" dxfId="33" priority="10">
      <x:formula>F5="PASS"</x:formula>
    </x:cfRule>
    <x:cfRule type="expression" dxfId="34" priority="11">
      <x:formula>F5="G5"</x:formula>
    </x:cfRule>
    <x:cfRule type="expression" dxfId="35" priority="12">
      <x:formula>F5="Blocked"</x:formula>
    </x:cfRule>
    <x:cfRule type="expression" dxfId="36" priority="13">
      <x:formula>F5="FAIL"</x:formula>
    </x:cfRule>
    <x:cfRule type="expression" dxfId="37" priority="14">
      <x:formula>F5="Not Started"</x:formula>
    </x:cfRule>
    <x:cfRule type="expression" dxfId="38" priority="15">
      <x:formula>F5="In Progress"</x:formula>
    </x:cfRule>
    <x:cfRule type="expression" dxfId="39" priority="16">
      <x:formula>F5="Doing"</x:formula>
    </x:cfRule>
  </x:conditionalFormatting>
  <x:conditionalFormatting sqref="G5:G36">
    <x:cfRule type="expression" dxfId="40" priority="17">
      <x:formula>G5="Done"</x:formula>
    </x:cfRule>
    <x:cfRule type="expression" dxfId="41" priority="18">
      <x:formula>G5="PASS"</x:formula>
    </x:cfRule>
    <x:cfRule type="expression" dxfId="42" priority="19">
      <x:formula>G5="G5"</x:formula>
    </x:cfRule>
    <x:cfRule type="expression" dxfId="43" priority="20">
      <x:formula>G5="Blocked"</x:formula>
    </x:cfRule>
    <x:cfRule type="expression" dxfId="44" priority="21">
      <x:formula>G5="FAIL"</x:formula>
    </x:cfRule>
    <x:cfRule type="expression" dxfId="45" priority="22">
      <x:formula>G5="Not Started"</x:formula>
    </x:cfRule>
    <x:cfRule type="expression" dxfId="46" priority="23">
      <x:formula>G5="In Progress"</x:formula>
    </x:cfRule>
    <x:cfRule type="expression" dxfId="47" priority="24">
      <x:formula>G5="Doing"</x:formula>
    </x:cfRule>
  </x:conditionalFormatting>
  <x:conditionalFormatting sqref="H5:H36">
    <x:cfRule type="expression" dxfId="48" priority="25">
      <x:formula>H5="Done"</x:formula>
    </x:cfRule>
    <x:cfRule type="expression" dxfId="49" priority="26">
      <x:formula>H5="PASS"</x:formula>
    </x:cfRule>
    <x:cfRule type="expression" dxfId="50" priority="27">
      <x:formula>H5="G5"</x:formula>
    </x:cfRule>
    <x:cfRule type="expression" dxfId="51" priority="28">
      <x:formula>H5="Blocked"</x:formula>
    </x:cfRule>
    <x:cfRule type="expression" dxfId="52" priority="29">
      <x:formula>H5="FAIL"</x:formula>
    </x:cfRule>
    <x:cfRule type="expression" dxfId="53" priority="30">
      <x:formula>H5="Not Started"</x:formula>
    </x:cfRule>
    <x:cfRule type="expression" dxfId="54" priority="31">
      <x:formula>H5="In Progress"</x:formula>
    </x:cfRule>
    <x:cfRule type="expression" dxfId="55" priority="32">
      <x:formula>H5="Doing"</x:formula>
    </x:cfRule>
  </x:conditionalFormatting>
  <x:conditionalFormatting sqref="I5:I36">
    <x:cfRule type="expression" dxfId="56" priority="33">
      <x:formula>I5="Done"</x:formula>
    </x:cfRule>
    <x:cfRule type="expression" dxfId="57" priority="34">
      <x:formula>I5="PASS"</x:formula>
    </x:cfRule>
    <x:cfRule type="expression" dxfId="58" priority="35">
      <x:formula>I5="G5"</x:formula>
    </x:cfRule>
    <x:cfRule type="expression" dxfId="59" priority="36">
      <x:formula>I5="Blocked"</x:formula>
    </x:cfRule>
    <x:cfRule type="expression" dxfId="60" priority="37">
      <x:formula>I5="FAIL"</x:formula>
    </x:cfRule>
    <x:cfRule type="expression" dxfId="61" priority="38">
      <x:formula>I5="Not Started"</x:formula>
    </x:cfRule>
    <x:cfRule type="expression" dxfId="62" priority="39">
      <x:formula>I5="In Progress"</x:formula>
    </x:cfRule>
    <x:cfRule type="expression" dxfId="63" priority="40">
      <x:formula>I5="Doing"</x:formula>
    </x:cfRule>
  </x:conditionalFormatting>
  <x:conditionalFormatting sqref="J5:J36">
    <x:cfRule type="expression" dxfId="64" priority="41">
      <x:formula>J5="Done"</x:formula>
    </x:cfRule>
    <x:cfRule type="expression" dxfId="65" priority="42">
      <x:formula>J5="PASS"</x:formula>
    </x:cfRule>
    <x:cfRule type="expression" dxfId="66" priority="43">
      <x:formula>J5="G5"</x:formula>
    </x:cfRule>
    <x:cfRule type="expression" dxfId="67" priority="44">
      <x:formula>J5="Blocked"</x:formula>
    </x:cfRule>
    <x:cfRule type="expression" dxfId="68" priority="45">
      <x:formula>J5="FAIL"</x:formula>
    </x:cfRule>
    <x:cfRule type="expression" dxfId="69" priority="46">
      <x:formula>J5="Not Started"</x:formula>
    </x:cfRule>
    <x:cfRule type="expression" dxfId="70" priority="47">
      <x:formula>J5="In Progress"</x:formula>
    </x:cfRule>
    <x:cfRule type="expression" dxfId="71" priority="48">
      <x:formula>J5="Doing"</x:formula>
    </x:cfRule>
  </x:conditionalFormatting>
  <x:conditionalFormatting sqref="K5:K36">
    <x:cfRule type="expression" dxfId="72" priority="49">
      <x:formula>K5="Done"</x:formula>
    </x:cfRule>
    <x:cfRule type="expression" dxfId="73" priority="50">
      <x:formula>K5="PASS"</x:formula>
    </x:cfRule>
    <x:cfRule type="expression" dxfId="74" priority="51">
      <x:formula>K5="G5"</x:formula>
    </x:cfRule>
    <x:cfRule type="expression" dxfId="75" priority="52">
      <x:formula>K5="Blocked"</x:formula>
    </x:cfRule>
    <x:cfRule type="expression" dxfId="76" priority="53">
      <x:formula>K5="FAIL"</x:formula>
    </x:cfRule>
    <x:cfRule type="expression" dxfId="77" priority="54">
      <x:formula>K5="Not Started"</x:formula>
    </x:cfRule>
    <x:cfRule type="expression" dxfId="78" priority="55">
      <x:formula>K5="In Progress"</x:formula>
    </x:cfRule>
    <x:cfRule type="expression" dxfId="79" priority="56">
      <x:formula>K5="Doing"</x:formula>
    </x:cfRule>
  </x:conditionalFormatting>
  <x:conditionalFormatting sqref="L5:L36">
    <x:cfRule type="expression" dxfId="80" priority="57">
      <x:formula>L5="Done"</x:formula>
    </x:cfRule>
    <x:cfRule type="expression" dxfId="81" priority="58">
      <x:formula>L5="PASS"</x:formula>
    </x:cfRule>
    <x:cfRule type="expression" dxfId="82" priority="59">
      <x:formula>L5="G5"</x:formula>
    </x:cfRule>
    <x:cfRule type="expression" dxfId="83" priority="60">
      <x:formula>L5="Blocked"</x:formula>
    </x:cfRule>
    <x:cfRule type="expression" dxfId="84" priority="61">
      <x:formula>L5="FAIL"</x:formula>
    </x:cfRule>
    <x:cfRule type="expression" dxfId="85" priority="62">
      <x:formula>L5="Not Started"</x:formula>
    </x:cfRule>
    <x:cfRule type="expression" dxfId="86" priority="63">
      <x:formula>L5="In Progress"</x:formula>
    </x:cfRule>
    <x:cfRule type="expression" dxfId="87" priority="64">
      <x:formula>L5="Doing"</x:formula>
    </x:cfRule>
  </x:conditionalFormatting>
  <x:conditionalFormatting sqref="M5:M36">
    <x:cfRule type="expression" dxfId="88" priority="65">
      <x:formula>M5="Done"</x:formula>
    </x:cfRule>
    <x:cfRule type="expression" dxfId="89" priority="66">
      <x:formula>M5="PASS"</x:formula>
    </x:cfRule>
    <x:cfRule type="expression" dxfId="90" priority="67">
      <x:formula>M5="G5"</x:formula>
    </x:cfRule>
    <x:cfRule type="expression" dxfId="91" priority="68">
      <x:formula>M5="Blocked"</x:formula>
    </x:cfRule>
    <x:cfRule type="expression" dxfId="92" priority="69">
      <x:formula>M5="FAIL"</x:formula>
    </x:cfRule>
    <x:cfRule type="expression" dxfId="93" priority="70">
      <x:formula>M5="Not Started"</x:formula>
    </x:cfRule>
    <x:cfRule type="expression" dxfId="94" priority="71">
      <x:formula>M5="In Progress"</x:formula>
    </x:cfRule>
    <x:cfRule type="expression" dxfId="95" priority="72">
      <x:formula>M5="Doing"</x:formula>
    </x:cfRule>
  </x:conditionalFormatting>
  <x:conditionalFormatting sqref="N5:N36">
    <x:cfRule type="expression" dxfId="96" priority="73">
      <x:formula>N5="Done"</x:formula>
    </x:cfRule>
    <x:cfRule type="expression" dxfId="97" priority="74">
      <x:formula>N5="PASS"</x:formula>
    </x:cfRule>
    <x:cfRule type="expression" dxfId="98" priority="75">
      <x:formula>N5="G5"</x:formula>
    </x:cfRule>
    <x:cfRule type="expression" dxfId="99" priority="76">
      <x:formula>N5="Blocked"</x:formula>
    </x:cfRule>
    <x:cfRule type="expression" dxfId="100" priority="77">
      <x:formula>N5="FAIL"</x:formula>
    </x:cfRule>
    <x:cfRule type="expression" dxfId="101" priority="78">
      <x:formula>N5="Not Started"</x:formula>
    </x:cfRule>
    <x:cfRule type="expression" dxfId="102" priority="79">
      <x:formula>N5="In Progress"</x:formula>
    </x:cfRule>
    <x:cfRule type="expression" dxfId="103" priority="80">
      <x:formula>N5="Doing"</x:formula>
    </x:cfRule>
  </x:conditionalFormatting>
  <x:dataValidations count="11">
    <x:dataValidation type="list" sqref="E5:E36">
      <x:formula1>"Planned,Doing,Done,Blocked,Hold,N/A"</x:formula1>
    </x:dataValidation>
    <x:dataValidation type="list" sqref="F5:F36">
      <x:formula1>"Planned,Doing,Done,Blocked,Hold,N/A"</x:formula1>
    </x:dataValidation>
    <x:dataValidation type="list" sqref="G5:G36">
      <x:formula1>"Planned,Doing,Done,Blocked,Hold,N/A"</x:formula1>
    </x:dataValidation>
    <x:dataValidation type="list" sqref="H5:H36">
      <x:formula1>"Planned,Doing,Done,Blocked,Hold,N/A"</x:formula1>
    </x:dataValidation>
    <x:dataValidation type="list" sqref="I5:I36">
      <x:formula1>"Planned,Doing,Done,Blocked,Hold,N/A"</x:formula1>
    </x:dataValidation>
    <x:dataValidation type="list" sqref="J5:J36">
      <x:formula1>"Planned,Doing,Done,Blocked,Hold,N/A"</x:formula1>
    </x:dataValidation>
    <x:dataValidation type="list" sqref="K5:K36">
      <x:formula1>"Planned,Doing,Done,Blocked,Hold,N/A"</x:formula1>
    </x:dataValidation>
    <x:dataValidation type="list" sqref="L5:L36">
      <x:formula1>"Planned,Doing,Done,Blocked,Hold,N/A"</x:formula1>
    </x:dataValidation>
    <x:dataValidation type="list" sqref="M5:M36">
      <x:formula1>"Planned,Doing,Done,Blocked,Hold,N/A"</x:formula1>
    </x:dataValidation>
    <x:dataValidation type="list" sqref="N5:N36">
      <x:formula1>"Planned,Doing,Done,Blocked,Hold,N/A"</x:formula1>
    </x:dataValidation>
    <x:dataValidation type="list" sqref="O5:O36">
      <x:formula1>"Unverified,G0,G1,G2,G3,G4,G5"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38" hidden="0" customWidth="1"/>
    <x:col min="5" max="5" width="67" hidden="0" customWidth="1"/>
    <x:col min="6" max="6" width="14" hidden="0" customWidth="1"/>
    <x:col min="7" max="7" width="10" hidden="0" customWidth="1"/>
    <x:col min="8" max="8" width="16" hidden="0" customWidth="1"/>
    <x:col min="9" max="9" width="29" hidden="0" customWidth="1"/>
  </x:cols>
  <x:sheetData>
    <x:row r="1" ht="35" customHeight="1">
      <x:c r="A1" s="4" t="str">
        <x:v>FUNCTIONAL &amp; NON-FUNCTIONAL REQUIREMENTS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0" t="str">
        <x:v>145 yêu cầu liên kết trực tiếp với 32 flows. Chỉ cập nhật trạng thái sau khi có acceptance evidence.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Requirement ID</x:v>
      </x:c>
      <x:c r="B4" s="17" t="str">
        <x:v>Flow ID</x:v>
      </x:c>
      <x:c r="C4" s="17" t="str">
        <x:v>Type</x:v>
      </x:c>
      <x:c r="D4" s="17" t="str">
        <x:v>Requirement / Quality Attribute</x:v>
      </x:c>
      <x:c r="E4" s="17" t="str">
        <x:v>Acceptance / Measurable Evidence</x:v>
      </x:c>
      <x:c r="F4" s="17" t="str">
        <x:v>Flow Owner</x:v>
      </x:c>
      <x:c r="G4" s="17" t="str">
        <x:v>Priority</x:v>
      </x:c>
      <x:c r="H4" s="17" t="str">
        <x:v>Status</x:v>
      </x:c>
      <x:c r="I4" s="17" t="str">
        <x:v>Evidence URL</x:v>
      </x:c>
    </x:row>
    <x:row r="5" ht="29" customHeight="1">
      <x:c r="A5" s="22" t="str">
        <x:v>A01-FR01</x:v>
      </x:c>
      <x:c r="B5" s="22" t="str">
        <x:v>A01</x:v>
      </x:c>
      <x:c r="C5" s="22" t="str">
        <x:v>FR</x:v>
      </x:c>
      <x:c r="D5" s="22" t="str">
        <x:v>Tạo tài khoản</x:v>
      </x:c>
      <x:c r="E5" s="22" t="str">
        <x:v>Gửi đăng ký hợp lệ tạo user chưa xác minh; tuân theo uniqueness/email canonicalization.</x:v>
      </x:c>
      <x:c r="F5" s="22" t="str">
        <x:v>Hùng</x:v>
      </x:c>
      <x:c r="G5" s="22" t="str">
        <x:v>P0</x:v>
      </x:c>
      <x:c r="H5" s="22" t="str">
        <x:v>Not Verified</x:v>
      </x:c>
      <x:c r="I5" s="22" t="str"/>
    </x:row>
    <x:row r="6" ht="29" customHeight="1">
      <x:c r="A6" s="32" t="str">
        <x:v>A01-FR02</x:v>
      </x:c>
      <x:c r="B6" s="32" t="str">
        <x:v>A01</x:v>
      </x:c>
      <x:c r="C6" s="32" t="str">
        <x:v>FR</x:v>
      </x:c>
      <x:c r="D6" s="32" t="str">
        <x:v>Xác minh email</x:v>
      </x:c>
      <x:c r="E6" s="32" t="str">
        <x:v>OTP đúng và còn hạn kích hoạt tài khoản; OTP sai/hết hạn không kích hoạt.</x:v>
      </x:c>
      <x:c r="F6" s="32" t="str">
        <x:v>Hùng</x:v>
      </x:c>
      <x:c r="G6" s="32" t="str">
        <x:v>P0</x:v>
      </x:c>
      <x:c r="H6" s="32" t="str">
        <x:v>Not Verified</x:v>
      </x:c>
      <x:c r="I6" s="32" t="str"/>
    </x:row>
    <x:row r="7" ht="29" customHeight="1">
      <x:c r="A7" s="22" t="str">
        <x:v>A01-FR03</x:v>
      </x:c>
      <x:c r="B7" s="22" t="str">
        <x:v>A01</x:v>
      </x:c>
      <x:c r="C7" s="22" t="str">
        <x:v>FR</x:v>
      </x:c>
      <x:c r="D7" s="22" t="str">
        <x:v>Truy cập UI</x:v>
      </x:c>
      <x:c r="E7" s="22" t="str">
        <x:v>Có form đăng ký, nhập OTP, thông báo lỗi và hướng dẫn đăng nhập.</x:v>
      </x:c>
      <x:c r="F7" s="22" t="str">
        <x:v>Hùng</x:v>
      </x:c>
      <x:c r="G7" s="22" t="str">
        <x:v>P0</x:v>
      </x:c>
      <x:c r="H7" s="22" t="str">
        <x:v>Not Verified</x:v>
      </x:c>
      <x:c r="I7" s="22" t="str"/>
    </x:row>
    <x:row r="8" ht="29" customHeight="1">
      <x:c r="A8" s="32" t="str">
        <x:v>A01-NFR01</x:v>
      </x:c>
      <x:c r="B8" s="32" t="str">
        <x:v>A01</x:v>
      </x:c>
      <x:c r="C8" s="32" t="str">
        <x:v>NFR</x:v>
      </x:c>
      <x:c r="D8" s="32" t="str">
        <x:v>Chống enumeration</x:v>
      </x:c>
      <x:c r="E8" s="32" t="str">
        <x:v>Phản hồi request gửi lại OTP không tiết lộ email có tồn tại hay không.</x:v>
      </x:c>
      <x:c r="F8" s="32" t="str">
        <x:v>Hùng</x:v>
      </x:c>
      <x:c r="G8" s="32" t="str">
        <x:v>P0</x:v>
      </x:c>
      <x:c r="H8" s="32" t="str">
        <x:v>Not Verified</x:v>
      </x:c>
      <x:c r="I8" s="32" t="str"/>
    </x:row>
    <x:row r="9" ht="29" customHeight="1">
      <x:c r="A9" s="22" t="str">
        <x:v>A01-NFR02</x:v>
      </x:c>
      <x:c r="B9" s="22" t="str">
        <x:v>A01</x:v>
      </x:c>
      <x:c r="C9" s="22" t="str">
        <x:v>NFR</x:v>
      </x:c>
      <x:c r="D9" s="22" t="str">
        <x:v>Bảo mật OTP</x:v>
      </x:c>
      <x:c r="E9" s="22" t="str">
        <x:v>OTP được bảo vệ, hết hạn, giới hạn thử; không log plaintext OTP/token.</x:v>
      </x:c>
      <x:c r="F9" s="22" t="str">
        <x:v>Hùng</x:v>
      </x:c>
      <x:c r="G9" s="22" t="str">
        <x:v>P0</x:v>
      </x:c>
      <x:c r="H9" s="22" t="str">
        <x:v>Not Verified</x:v>
      </x:c>
      <x:c r="I9" s="22" t="str"/>
    </x:row>
    <x:row r="10" ht="29" customHeight="1">
      <x:c r="A10" s="32" t="str">
        <x:v>A02-FR01</x:v>
      </x:c>
      <x:c r="B10" s="32" t="str">
        <x:v>A02</x:v>
      </x:c>
      <x:c r="C10" s="32" t="str">
        <x:v>FR</x:v>
      </x:c>
      <x:c r="D10" s="32" t="str">
        <x:v>Local login</x:v>
      </x:c>
      <x:c r="E10" s="32" t="str">
        <x:v>Verified user đăng nhập thành công và nhận session/token theo contract.</x:v>
      </x:c>
      <x:c r="F10" s="32" t="str">
        <x:v>Hùng</x:v>
      </x:c>
      <x:c r="G10" s="32" t="str">
        <x:v>P0</x:v>
      </x:c>
      <x:c r="H10" s="32" t="str">
        <x:v>Not Verified</x:v>
      </x:c>
      <x:c r="I10" s="32" t="str"/>
    </x:row>
    <x:row r="11" ht="29" customHeight="1">
      <x:c r="A11" s="22" t="str">
        <x:v>A02-FR02</x:v>
      </x:c>
      <x:c r="B11" s="22" t="str">
        <x:v>A02</x:v>
      </x:c>
      <x:c r="C11" s="22" t="str">
        <x:v>FR</x:v>
      </x:c>
      <x:c r="D11" s="22" t="str">
        <x:v>Sai credentials</x:v>
      </x:c>
      <x:c r="E11" s="22" t="str">
        <x:v>Không tạo session; thông báo lỗi bảo mật phù hợp.</x:v>
      </x:c>
      <x:c r="F11" s="22" t="str">
        <x:v>Hùng</x:v>
      </x:c>
      <x:c r="G11" s="22" t="str">
        <x:v>P0</x:v>
      </x:c>
      <x:c r="H11" s="22" t="str">
        <x:v>Not Verified</x:v>
      </x:c>
      <x:c r="I11" s="22" t="str"/>
    </x:row>
    <x:row r="12" ht="29" customHeight="1">
      <x:c r="A12" s="32" t="str">
        <x:v>A02-FR03</x:v>
      </x:c>
      <x:c r="B12" s="32" t="str">
        <x:v>A02</x:v>
      </x:c>
      <x:c r="C12" s="32" t="str">
        <x:v>FR</x:v>
      </x:c>
      <x:c r="D12" s="32" t="str">
        <x:v>Session client</x:v>
      </x:c>
      <x:c r="E12" s="32" t="str">
        <x:v>Refresh trang vẫn giữ session đúng policy.</x:v>
      </x:c>
      <x:c r="F12" s="32" t="str">
        <x:v>Hùng</x:v>
      </x:c>
      <x:c r="G12" s="32" t="str">
        <x:v>P0</x:v>
      </x:c>
      <x:c r="H12" s="32" t="str">
        <x:v>Not Verified</x:v>
      </x:c>
      <x:c r="I12" s="32" t="str"/>
    </x:row>
    <x:row r="13" ht="29" customHeight="1">
      <x:c r="A13" s="22" t="str">
        <x:v>A02-NFR01</x:v>
      </x:c>
      <x:c r="B13" s="22" t="str">
        <x:v>A02</x:v>
      </x:c>
      <x:c r="C13" s="22" t="str">
        <x:v>NFR</x:v>
      </x:c>
      <x:c r="D13" s="22" t="str">
        <x:v>Brute-force defense</x:v>
      </x:c>
      <x:c r="E13" s="22" t="str">
        <x:v>Giới hạn yêu cầu login theo policy; test rate-limit fixture.</x:v>
      </x:c>
      <x:c r="F13" s="22" t="str">
        <x:v>Hùng</x:v>
      </x:c>
      <x:c r="G13" s="22" t="str">
        <x:v>P0</x:v>
      </x:c>
      <x:c r="H13" s="22" t="str">
        <x:v>Not Verified</x:v>
      </x:c>
      <x:c r="I13" s="22" t="str"/>
    </x:row>
    <x:row r="14" ht="29" customHeight="1">
      <x:c r="A14" s="32" t="str">
        <x:v>A02-NFR02</x:v>
      </x:c>
      <x:c r="B14" s="32" t="str">
        <x:v>A02</x:v>
      </x:c>
      <x:c r="C14" s="32" t="str">
        <x:v>NFR</x:v>
      </x:c>
      <x:c r="D14" s="32" t="str">
        <x:v>Token safety</x:v>
      </x:c>
      <x:c r="E14" s="32" t="str">
        <x:v>Token lưu bằng cơ chế an toàn đã duyệt; không log password/token.</x:v>
      </x:c>
      <x:c r="F14" s="32" t="str">
        <x:v>Hùng</x:v>
      </x:c>
      <x:c r="G14" s="32" t="str">
        <x:v>P0</x:v>
      </x:c>
      <x:c r="H14" s="32" t="str">
        <x:v>Not Verified</x:v>
      </x:c>
      <x:c r="I14" s="32" t="str"/>
    </x:row>
    <x:row r="15" ht="29" customHeight="1">
      <x:c r="A15" s="22" t="str">
        <x:v>A03-FR01</x:v>
      </x:c>
      <x:c r="B15" s="22" t="str">
        <x:v>A03</x:v>
      </x:c>
      <x:c r="C15" s="22" t="str">
        <x:v>FR</x:v>
      </x:c>
      <x:c r="D15" s="22" t="str">
        <x:v>OIDC login</x:v>
      </x:c>
      <x:c r="E15" s="22" t="str">
        <x:v>Exchange callback đúng state/nonce và chuẩn hóa session.</x:v>
      </x:c>
      <x:c r="F15" s="22" t="str">
        <x:v>Hùng</x:v>
      </x:c>
      <x:c r="G15" s="22" t="str">
        <x:v>P0</x:v>
      </x:c>
      <x:c r="H15" s="22" t="str">
        <x:v>Not Verified</x:v>
      </x:c>
      <x:c r="I15" s="22" t="str"/>
    </x:row>
    <x:row r="16" ht="29" customHeight="1">
      <x:c r="A16" s="32" t="str">
        <x:v>A03-FR02</x:v>
      </x:c>
      <x:c r="B16" s="32" t="str">
        <x:v>A03</x:v>
      </x:c>
      <x:c r="C16" s="32" t="str">
        <x:v>FR</x:v>
      </x:c>
      <x:c r="D16" s="32" t="str">
        <x:v>Liên kết identity</x:v>
      </x:c>
      <x:c r="E16" s="32" t="str">
        <x:v>Không liên kết account chỉ dựa trên email chưa xác minh; chống duplicate takeover.</x:v>
      </x:c>
      <x:c r="F16" s="32" t="str">
        <x:v>Hùng</x:v>
      </x:c>
      <x:c r="G16" s="32" t="str">
        <x:v>P0</x:v>
      </x:c>
      <x:c r="H16" s="32" t="str">
        <x:v>Not Verified</x:v>
      </x:c>
      <x:c r="I16" s="32" t="str"/>
    </x:row>
    <x:row r="17" ht="29" customHeight="1">
      <x:c r="A17" s="22" t="str">
        <x:v>A03-NFR01</x:v>
      </x:c>
      <x:c r="B17" s="22" t="str">
        <x:v>A03</x:v>
      </x:c>
      <x:c r="C17" s="22" t="str">
        <x:v>NFR</x:v>
      </x:c>
      <x:c r="D17" s="22" t="str">
        <x:v>OAuth security</x:v>
      </x:c>
      <x:c r="E17" s="22" t="str">
        <x:v>State/nonce/redirect allowlist được test.</x:v>
      </x:c>
      <x:c r="F17" s="22" t="str">
        <x:v>Hùng</x:v>
      </x:c>
      <x:c r="G17" s="22" t="str">
        <x:v>P0</x:v>
      </x:c>
      <x:c r="H17" s="22" t="str">
        <x:v>Not Verified</x:v>
      </x:c>
      <x:c r="I17" s="22" t="str"/>
    </x:row>
    <x:row r="18" ht="29" customHeight="1">
      <x:c r="A18" s="32" t="str">
        <x:v>A03-NFR02</x:v>
      </x:c>
      <x:c r="B18" s="32" t="str">
        <x:v>A03</x:v>
      </x:c>
      <x:c r="C18" s="32" t="str">
        <x:v>NFR</x:v>
      </x:c>
      <x:c r="D18" s="32" t="str">
        <x:v>Privacy</x:v>
      </x:c>
      <x:c r="E18" s="32" t="str">
        <x:v>Không lưu access token provider không cần thiết; không đưa token ra URL/log.</x:v>
      </x:c>
      <x:c r="F18" s="32" t="str">
        <x:v>Hùng</x:v>
      </x:c>
      <x:c r="G18" s="32" t="str">
        <x:v>P0</x:v>
      </x:c>
      <x:c r="H18" s="32" t="str">
        <x:v>Not Verified</x:v>
      </x:c>
      <x:c r="I18" s="32" t="str"/>
    </x:row>
    <x:row r="19" ht="29" customHeight="1">
      <x:c r="A19" s="22" t="str">
        <x:v>A04-FR01</x:v>
      </x:c>
      <x:c r="B19" s="22" t="str">
        <x:v>A04</x:v>
      </x:c>
      <x:c r="C19" s="22" t="str">
        <x:v>FR</x:v>
      </x:c>
      <x:c r="D19" s="22" t="str">
        <x:v>Khởi tạo reset</x:v>
      </x:c>
      <x:c r="E19" s="22" t="str">
        <x:v>Response trung tính bất kể email tồn tại.</x:v>
      </x:c>
      <x:c r="F19" s="22" t="str">
        <x:v>Hùng</x:v>
      </x:c>
      <x:c r="G19" s="22" t="str">
        <x:v>P1</x:v>
      </x:c>
      <x:c r="H19" s="22" t="str">
        <x:v>Not Verified</x:v>
      </x:c>
      <x:c r="I19" s="22" t="str"/>
    </x:row>
    <x:row r="20" ht="29" customHeight="1">
      <x:c r="A20" s="32" t="str">
        <x:v>A04-FR02</x:v>
      </x:c>
      <x:c r="B20" s="32" t="str">
        <x:v>A04</x:v>
      </x:c>
      <x:c r="C20" s="32" t="str">
        <x:v>FR</x:v>
      </x:c>
      <x:c r="D20" s="32" t="str">
        <x:v>Xác minh OTP</x:v>
      </x:c>
      <x:c r="E20" s="32" t="str">
        <x:v>OTP đúng cho phép đặt password mới; cũ hết hiệu lực.</x:v>
      </x:c>
      <x:c r="F20" s="32" t="str">
        <x:v>Hùng</x:v>
      </x:c>
      <x:c r="G20" s="32" t="str">
        <x:v>P1</x:v>
      </x:c>
      <x:c r="H20" s="32" t="str">
        <x:v>Not Verified</x:v>
      </x:c>
      <x:c r="I20" s="32" t="str"/>
    </x:row>
    <x:row r="21" ht="29" customHeight="1">
      <x:c r="A21" s="22" t="str">
        <x:v>A04-FR03</x:v>
      </x:c>
      <x:c r="B21" s="22" t="str">
        <x:v>A04</x:v>
      </x:c>
      <x:c r="C21" s="22" t="str">
        <x:v>FR</x:v>
      </x:c>
      <x:c r="D21" s="22" t="str">
        <x:v>UI recovery</x:v>
      </x:c>
      <x:c r="E21" s="22" t="str">
        <x:v>Flow không đòi mật khẩu cũ.</x:v>
      </x:c>
      <x:c r="F21" s="22" t="str">
        <x:v>Hùng</x:v>
      </x:c>
      <x:c r="G21" s="22" t="str">
        <x:v>P1</x:v>
      </x:c>
      <x:c r="H21" s="22" t="str">
        <x:v>Not Verified</x:v>
      </x:c>
      <x:c r="I21" s="22" t="str"/>
    </x:row>
    <x:row r="22" ht="29" customHeight="1">
      <x:c r="A22" s="32" t="str">
        <x:v>A04-NFR01</x:v>
      </x:c>
      <x:c r="B22" s="32" t="str">
        <x:v>A04</x:v>
      </x:c>
      <x:c r="C22" s="32" t="str">
        <x:v>NFR</x:v>
      </x:c>
      <x:c r="D22" s="32" t="str">
        <x:v>Credential safety</x:v>
      </x:c>
      <x:c r="E22" s="32" t="str">
        <x:v>Reset token/OTP one-time, expiry, rate-limit; hash password.</x:v>
      </x:c>
      <x:c r="F22" s="32" t="str">
        <x:v>Hùng</x:v>
      </x:c>
      <x:c r="G22" s="32" t="str">
        <x:v>P1</x:v>
      </x:c>
      <x:c r="H22" s="32" t="str">
        <x:v>Not Verified</x:v>
      </x:c>
      <x:c r="I22" s="32" t="str"/>
    </x:row>
    <x:row r="23" ht="29" customHeight="1">
      <x:c r="A23" s="22" t="str">
        <x:v>A04-NFR02</x:v>
      </x:c>
      <x:c r="B23" s="22" t="str">
        <x:v>A04</x:v>
      </x:c>
      <x:c r="C23" s="22" t="str">
        <x:v>NFR</x:v>
      </x:c>
      <x:c r="D23" s="22" t="str">
        <x:v>Session revocation</x:v>
      </x:c>
      <x:c r="E23" s="22" t="str">
        <x:v>Tuân thủ policy revoke session sau reset.</x:v>
      </x:c>
      <x:c r="F23" s="22" t="str">
        <x:v>Hùng</x:v>
      </x:c>
      <x:c r="G23" s="22" t="str">
        <x:v>P1</x:v>
      </x:c>
      <x:c r="H23" s="22" t="str">
        <x:v>Not Verified</x:v>
      </x:c>
      <x:c r="I23" s="22" t="str"/>
    </x:row>
    <x:row r="24" ht="29" customHeight="1">
      <x:c r="A24" s="32" t="str">
        <x:v>A05-FR01</x:v>
      </x:c>
      <x:c r="B24" s="32" t="str">
        <x:v>A05</x:v>
      </x:c>
      <x:c r="C24" s="32" t="str">
        <x:v>FR</x:v>
      </x:c>
      <x:c r="D24" s="32" t="str">
        <x:v>Đổi mật khẩu</x:v>
      </x:c>
      <x:c r="E24" s="32" t="str">
        <x:v>Chỉ current user đổi, yêu cầu proof đúng chính sách.</x:v>
      </x:c>
      <x:c r="F24" s="32" t="str">
        <x:v>Hùng</x:v>
      </x:c>
      <x:c r="G24" s="32" t="str">
        <x:v>P1</x:v>
      </x:c>
      <x:c r="H24" s="32" t="str">
        <x:v>Not Verified</x:v>
      </x:c>
      <x:c r="I24" s="32" t="str"/>
    </x:row>
    <x:row r="25" ht="29" customHeight="1">
      <x:c r="A25" s="22" t="str">
        <x:v>A05-FR02</x:v>
      </x:c>
      <x:c r="B25" s="22" t="str">
        <x:v>A05</x:v>
      </x:c>
      <x:c r="C25" s="22" t="str">
        <x:v>FR</x:v>
      </x:c>
      <x:c r="D25" s="22" t="str">
        <x:v>Cập nhật credential</x:v>
      </x:c>
      <x:c r="E25" s="22" t="str">
        <x:v>Mật khẩu mới login được, cũ không còn được chấp nhận.</x:v>
      </x:c>
      <x:c r="F25" s="22" t="str">
        <x:v>Hùng</x:v>
      </x:c>
      <x:c r="G25" s="22" t="str">
        <x:v>P1</x:v>
      </x:c>
      <x:c r="H25" s="22" t="str">
        <x:v>Not Verified</x:v>
      </x:c>
      <x:c r="I25" s="22" t="str"/>
    </x:row>
    <x:row r="26" ht="29" customHeight="1">
      <x:c r="A26" s="32" t="str">
        <x:v>A05-NFR01</x:v>
      </x:c>
      <x:c r="B26" s="32" t="str">
        <x:v>A05</x:v>
      </x:c>
      <x:c r="C26" s="32" t="str">
        <x:v>NFR</x:v>
      </x:c>
      <x:c r="D26" s="32" t="str">
        <x:v>Session hygiene</x:v>
      </x:c>
      <x:c r="E26" s="32" t="str">
        <x:v>Revoke/rotate session đúng policy; audit không lưu secrets.</x:v>
      </x:c>
      <x:c r="F26" s="32" t="str">
        <x:v>Hùng</x:v>
      </x:c>
      <x:c r="G26" s="32" t="str">
        <x:v>P1</x:v>
      </x:c>
      <x:c r="H26" s="32" t="str">
        <x:v>Not Verified</x:v>
      </x:c>
      <x:c r="I26" s="32" t="str"/>
    </x:row>
    <x:row r="27" ht="29" customHeight="1">
      <x:c r="A27" s="22" t="str">
        <x:v>A05-NFR02</x:v>
      </x:c>
      <x:c r="B27" s="22" t="str">
        <x:v>A05</x:v>
      </x:c>
      <x:c r="C27" s="22" t="str">
        <x:v>NFR</x:v>
      </x:c>
      <x:c r="D27" s="22" t="str">
        <x:v>Access</x:v>
      </x:c>
      <x:c r="E27" s="22" t="str">
        <x:v>Account khác không thể đổi mật khẩu mục tiêu.</x:v>
      </x:c>
      <x:c r="F27" s="22" t="str">
        <x:v>Hùng</x:v>
      </x:c>
      <x:c r="G27" s="22" t="str">
        <x:v>P1</x:v>
      </x:c>
      <x:c r="H27" s="22" t="str">
        <x:v>Not Verified</x:v>
      </x:c>
      <x:c r="I27" s="22" t="str"/>
    </x:row>
    <x:row r="28" ht="29" customHeight="1">
      <x:c r="A28" s="32" t="str">
        <x:v>A06-FR01</x:v>
      </x:c>
      <x:c r="B28" s="32" t="str">
        <x:v>A06</x:v>
      </x:c>
      <x:c r="C28" s="32" t="str">
        <x:v>FR</x:v>
      </x:c>
      <x:c r="D28" s="32" t="str">
        <x:v>Logout</x:v>
      </x:c>
      <x:c r="E28" s="32" t="str">
        <x:v>Session refresh không được sử dụng tiếp sau logout.</x:v>
      </x:c>
      <x:c r="F28" s="32" t="str">
        <x:v>Hùng</x:v>
      </x:c>
      <x:c r="G28" s="32" t="str">
        <x:v>P0</x:v>
      </x:c>
      <x:c r="H28" s="32" t="str">
        <x:v>Not Verified</x:v>
      </x:c>
      <x:c r="I28" s="32" t="str"/>
    </x:row>
    <x:row r="29" ht="29" customHeight="1">
      <x:c r="A29" s="22" t="str">
        <x:v>A06-FR02</x:v>
      </x:c>
      <x:c r="B29" s="22" t="str">
        <x:v>A06</x:v>
      </x:c>
      <x:c r="C29" s="22" t="str">
        <x:v>FR</x:v>
      </x:c>
      <x:c r="D29" s="22" t="str">
        <x:v>UI state</x:v>
      </x:c>
      <x:c r="E29" s="22" t="str">
        <x:v>Clear client session, cập nhật menu/route.</x:v>
      </x:c>
      <x:c r="F29" s="22" t="str">
        <x:v>Hùng</x:v>
      </x:c>
      <x:c r="G29" s="22" t="str">
        <x:v>P0</x:v>
      </x:c>
      <x:c r="H29" s="22" t="str">
        <x:v>Not Verified</x:v>
      </x:c>
      <x:c r="I29" s="22" t="str"/>
    </x:row>
    <x:row r="30" ht="29" customHeight="1">
      <x:c r="A30" s="32" t="str">
        <x:v>A06-NFR01</x:v>
      </x:c>
      <x:c r="B30" s="32" t="str">
        <x:v>A06</x:v>
      </x:c>
      <x:c r="C30" s="32" t="str">
        <x:v>NFR</x:v>
      </x:c>
      <x:c r="D30" s="32" t="str">
        <x:v>Session security</x:v>
      </x:c>
      <x:c r="E30" s="32" t="str">
        <x:v>Không để refresh token reuse tạo lại session.</x:v>
      </x:c>
      <x:c r="F30" s="32" t="str">
        <x:v>Hùng</x:v>
      </x:c>
      <x:c r="G30" s="32" t="str">
        <x:v>P0</x:v>
      </x:c>
      <x:c r="H30" s="32" t="str">
        <x:v>Not Verified</x:v>
      </x:c>
      <x:c r="I30" s="32" t="str"/>
    </x:row>
    <x:row r="31" ht="29" customHeight="1">
      <x:c r="A31" s="22" t="str">
        <x:v>A06-NFR02</x:v>
      </x:c>
      <x:c r="B31" s="22" t="str">
        <x:v>A06</x:v>
      </x:c>
      <x:c r="C31" s="22" t="str">
        <x:v>NFR</x:v>
      </x:c>
      <x:c r="D31" s="22" t="str">
        <x:v>Idempotence</x:v>
      </x:c>
      <x:c r="E31" s="22" t="str">
        <x:v>Logout lặp lại không gây lỗi nghiêm trọng.</x:v>
      </x:c>
      <x:c r="F31" s="22" t="str">
        <x:v>Hùng</x:v>
      </x:c>
      <x:c r="G31" s="22" t="str">
        <x:v>P0</x:v>
      </x:c>
      <x:c r="H31" s="22" t="str">
        <x:v>Not Verified</x:v>
      </x:c>
      <x:c r="I31" s="22" t="str"/>
    </x:row>
    <x:row r="32" ht="29" customHeight="1">
      <x:c r="A32" s="32" t="str">
        <x:v>A07-FR01</x:v>
      </x:c>
      <x:c r="B32" s="32" t="str">
        <x:v>A07</x:v>
      </x:c>
      <x:c r="C32" s="32" t="str">
        <x:v>FR</x:v>
      </x:c>
      <x:c r="D32" s="32" t="str">
        <x:v>Revoke all</x:v>
      </x:c>
      <x:c r="E32" s="32" t="str">
        <x:v>Thu hồi family/session các thiết bị của chính user.</x:v>
      </x:c>
      <x:c r="F32" s="32" t="str">
        <x:v>Kiên</x:v>
      </x:c>
      <x:c r="G32" s="32" t="str">
        <x:v>P1</x:v>
      </x:c>
      <x:c r="H32" s="32" t="str">
        <x:v>Not Verified</x:v>
      </x:c>
      <x:c r="I32" s="32" t="str"/>
    </x:row>
    <x:row r="33" ht="29" customHeight="1">
      <x:c r="A33" s="22" t="str">
        <x:v>A07-FR02</x:v>
      </x:c>
      <x:c r="B33" s="22" t="str">
        <x:v>A07</x:v>
      </x:c>
      <x:c r="C33" s="22" t="str">
        <x:v>FR</x:v>
      </x:c>
      <x:c r="D33" s="22" t="str">
        <x:v>UX</x:v>
      </x:c>
      <x:c r="E33" s="22" t="str">
        <x:v>Hiển thị cảnh báo và xác nhận.</x:v>
      </x:c>
      <x:c r="F33" s="22" t="str">
        <x:v>Kiên</x:v>
      </x:c>
      <x:c r="G33" s="22" t="str">
        <x:v>P1</x:v>
      </x:c>
      <x:c r="H33" s="22" t="str">
        <x:v>Not Verified</x:v>
      </x:c>
      <x:c r="I33" s="22" t="str"/>
    </x:row>
    <x:row r="34" ht="29" customHeight="1">
      <x:c r="A34" s="32" t="str">
        <x:v>A07-NFR01</x:v>
      </x:c>
      <x:c r="B34" s="32" t="str">
        <x:v>A07</x:v>
      </x:c>
      <x:c r="C34" s="32" t="str">
        <x:v>NFR</x:v>
      </x:c>
      <x:c r="D34" s="32" t="str">
        <x:v>Authorization</x:v>
      </x:c>
      <x:c r="E34" s="32" t="str">
        <x:v>Không revoke session của người khác.</x:v>
      </x:c>
      <x:c r="F34" s="32" t="str">
        <x:v>Kiên</x:v>
      </x:c>
      <x:c r="G34" s="32" t="str">
        <x:v>P1</x:v>
      </x:c>
      <x:c r="H34" s="32" t="str">
        <x:v>Not Verified</x:v>
      </x:c>
      <x:c r="I34" s="32" t="str"/>
    </x:row>
    <x:row r="35" ht="29" customHeight="1">
      <x:c r="A35" s="22" t="str">
        <x:v>A07-NFR02</x:v>
      </x:c>
      <x:c r="B35" s="22" t="str">
        <x:v>A07</x:v>
      </x:c>
      <x:c r="C35" s="22" t="str">
        <x:v>NFR</x:v>
      </x:c>
      <x:c r="D35" s="22" t="str">
        <x:v>Race safety</x:v>
      </x:c>
      <x:c r="E35" s="22" t="str">
        <x:v>Concurrent refresh không hồi sinh session đã revoke.</x:v>
      </x:c>
      <x:c r="F35" s="22" t="str">
        <x:v>Kiên</x:v>
      </x:c>
      <x:c r="G35" s="22" t="str">
        <x:v>P1</x:v>
      </x:c>
      <x:c r="H35" s="22" t="str">
        <x:v>Not Verified</x:v>
      </x:c>
      <x:c r="I35" s="22" t="str"/>
    </x:row>
    <x:row r="36" ht="29" customHeight="1">
      <x:c r="A36" s="32" t="str">
        <x:v>A08-FR01</x:v>
      </x:c>
      <x:c r="B36" s="32" t="str">
        <x:v>A08</x:v>
      </x:c>
      <x:c r="C36" s="32" t="str">
        <x:v>FR</x:v>
      </x:c>
      <x:c r="D36" s="32" t="str">
        <x:v>Xem hồ sơ</x:v>
      </x:c>
      <x:c r="E36" s="32" t="str">
        <x:v>GET current profile trả đúng current user.</x:v>
      </x:c>
      <x:c r="F36" s="32" t="str">
        <x:v>Khải</x:v>
      </x:c>
      <x:c r="G36" s="32" t="str">
        <x:v>P0</x:v>
      </x:c>
      <x:c r="H36" s="32" t="str">
        <x:v>Not Verified</x:v>
      </x:c>
      <x:c r="I36" s="32" t="str"/>
    </x:row>
    <x:row r="37" ht="29" customHeight="1">
      <x:c r="A37" s="22" t="str">
        <x:v>A08-FR02</x:v>
      </x:c>
      <x:c r="B37" s="22" t="str">
        <x:v>A08</x:v>
      </x:c>
      <x:c r="C37" s="22" t="str">
        <x:v>FR</x:v>
      </x:c>
      <x:c r="D37" s="22" t="str">
        <x:v>Cập nhật</x:v>
      </x:c>
      <x:c r="E37" s="22" t="str">
        <x:v>Chỉ field được phép, persist và hiển thị lại.</x:v>
      </x:c>
      <x:c r="F37" s="22" t="str">
        <x:v>Khải</x:v>
      </x:c>
      <x:c r="G37" s="22" t="str">
        <x:v>P0</x:v>
      </x:c>
      <x:c r="H37" s="22" t="str">
        <x:v>Not Verified</x:v>
      </x:c>
      <x:c r="I37" s="22" t="str"/>
    </x:row>
    <x:row r="38" ht="29" customHeight="1">
      <x:c r="A38" s="32" t="str">
        <x:v>A08-NFR01</x:v>
      </x:c>
      <x:c r="B38" s="32" t="str">
        <x:v>A08</x:v>
      </x:c>
      <x:c r="C38" s="32" t="str">
        <x:v>NFR</x:v>
      </x:c>
      <x:c r="D38" s="32" t="str">
        <x:v>Access control</x:v>
      </x:c>
      <x:c r="E38" s="32" t="str">
        <x:v>Chặn chỉnh sửa profile user khác.</x:v>
      </x:c>
      <x:c r="F38" s="32" t="str">
        <x:v>Khải</x:v>
      </x:c>
      <x:c r="G38" s="32" t="str">
        <x:v>P0</x:v>
      </x:c>
      <x:c r="H38" s="32" t="str">
        <x:v>Not Verified</x:v>
      </x:c>
      <x:c r="I38" s="32" t="str"/>
    </x:row>
    <x:row r="39" ht="29" customHeight="1">
      <x:c r="A39" s="22" t="str">
        <x:v>A08-NFR02</x:v>
      </x:c>
      <x:c r="B39" s="22" t="str">
        <x:v>A08</x:v>
      </x:c>
      <x:c r="C39" s="22" t="str">
        <x:v>NFR</x:v>
      </x:c>
      <x:c r="D39" s="22" t="str">
        <x:v>PII</x:v>
      </x:c>
      <x:c r="E39" s="22" t="str">
        <x:v>Không render/log dữ liệu nhạy cảm không cần.</x:v>
      </x:c>
      <x:c r="F39" s="22" t="str">
        <x:v>Khải</x:v>
      </x:c>
      <x:c r="G39" s="22" t="str">
        <x:v>P0</x:v>
      </x:c>
      <x:c r="H39" s="22" t="str">
        <x:v>Not Verified</x:v>
      </x:c>
      <x:c r="I39" s="22" t="str"/>
    </x:row>
    <x:row r="40" ht="29" customHeight="1">
      <x:c r="A40" s="32" t="str">
        <x:v>S01-FR01</x:v>
      </x:c>
      <x:c r="B40" s="32" t="str">
        <x:v>S01</x:v>
      </x:c>
      <x:c r="C40" s="32" t="str">
        <x:v>FR</x:v>
      </x:c>
      <x:c r="D40" s="32" t="str">
        <x:v>Intake</x:v>
      </x:c>
      <x:c r="E40" s="32" t="str">
        <x:v>POST /v1/scans/url tạo scanId và không enqueue trùng khi replay hợp lệ.</x:v>
      </x:c>
      <x:c r="F40" s="32" t="str">
        <x:v>Khải</x:v>
      </x:c>
      <x:c r="G40" s="32" t="str">
        <x:v>P0</x:v>
      </x:c>
      <x:c r="H40" s="32" t="str">
        <x:v>Not Verified</x:v>
      </x:c>
      <x:c r="I40" s="32" t="str"/>
    </x:row>
    <x:row r="41" ht="29" customHeight="1">
      <x:c r="A41" s="22" t="str">
        <x:v>S01-FR02</x:v>
      </x:c>
      <x:c r="B41" s="22" t="str">
        <x:v>S01</x:v>
      </x:c>
      <x:c r="C41" s="22" t="str">
        <x:v>FR</x:v>
      </x:c>
      <x:c r="D41" s="22" t="str">
        <x:v>URL worker</x:v>
      </x:c>
      <x:c r="E41" s="22" t="str">
        <x:v>Phân tích URL an toàn, tạo AnalysisSignal đúng contract.</x:v>
      </x:c>
      <x:c r="F41" s="22" t="str">
        <x:v>Khải</x:v>
      </x:c>
      <x:c r="G41" s="22" t="str">
        <x:v>P0</x:v>
      </x:c>
      <x:c r="H41" s="22" t="str">
        <x:v>Not Verified</x:v>
      </x:c>
      <x:c r="I41" s="22" t="str"/>
    </x:row>
    <x:row r="42" ht="29" customHeight="1">
      <x:c r="A42" s="32" t="str">
        <x:v>S01-FR03</x:v>
      </x:c>
      <x:c r="B42" s="32" t="str">
        <x:v>S01</x:v>
      </x:c>
      <x:c r="C42" s="32" t="str">
        <x:v>FR</x:v>
      </x:c>
      <x:c r="D42" s="32" t="str">
        <x:v>Kết quả</x:v>
      </x:c>
      <x:c r="E42" s="32" t="str">
        <x:v>RiskResult nhất quán và UI hiển thị trạng thái, evidence.</x:v>
      </x:c>
      <x:c r="F42" s="32" t="str">
        <x:v>Khải</x:v>
      </x:c>
      <x:c r="G42" s="32" t="str">
        <x:v>P0</x:v>
      </x:c>
      <x:c r="H42" s="32" t="str">
        <x:v>Not Verified</x:v>
      </x:c>
      <x:c r="I42" s="32" t="str"/>
    </x:row>
    <x:row r="43" ht="29" customHeight="1">
      <x:c r="A43" s="22" t="str">
        <x:v>S01-NFR01</x:v>
      </x:c>
      <x:c r="B43" s="22" t="str">
        <x:v>S01</x:v>
      </x:c>
      <x:c r="C43" s="22" t="str">
        <x:v>NFR</x:v>
      </x:c>
      <x:c r="D43" s="22" t="str">
        <x:v>SSRF</x:v>
      </x:c>
      <x:c r="E43" s="22" t="str">
        <x:v>Không fetch địa chỉ private/internal hoặc redirect vi phạm.</x:v>
      </x:c>
      <x:c r="F43" s="22" t="str">
        <x:v>Khải</x:v>
      </x:c>
      <x:c r="G43" s="22" t="str">
        <x:v>P0</x:v>
      </x:c>
      <x:c r="H43" s="22" t="str">
        <x:v>Not Verified</x:v>
      </x:c>
      <x:c r="I43" s="22" t="str"/>
    </x:row>
    <x:row r="44" ht="29" customHeight="1">
      <x:c r="A44" s="32" t="str">
        <x:v>S01-NFR02</x:v>
      </x:c>
      <x:c r="B44" s="32" t="str">
        <x:v>S01</x:v>
      </x:c>
      <x:c r="C44" s="32" t="str">
        <x:v>NFR</x:v>
      </x:c>
      <x:c r="D44" s="32" t="str">
        <x:v>Async reliability</x:v>
      </x:c>
      <x:c r="E44" s="32" t="str">
        <x:v>Retry/duplicate/timeout kết thúc theo policy; không processing vô hạn.</x:v>
      </x:c>
      <x:c r="F44" s="32" t="str">
        <x:v>Khải</x:v>
      </x:c>
      <x:c r="G44" s="32" t="str">
        <x:v>P0</x:v>
      </x:c>
      <x:c r="H44" s="32" t="str">
        <x:v>Not Verified</x:v>
      </x:c>
      <x:c r="I44" s="32" t="str"/>
    </x:row>
    <x:row r="45" ht="29" customHeight="1">
      <x:c r="A45" s="22" t="str">
        <x:v>S02-FR01</x:v>
      </x:c>
      <x:c r="B45" s="22" t="str">
        <x:v>S02</x:v>
      </x:c>
      <x:c r="C45" s="22" t="str">
        <x:v>FR</x:v>
      </x:c>
      <x:c r="D45" s="22" t="str">
        <x:v>Text input</x:v>
      </x:c>
      <x:c r="E45" s="22" t="str">
        <x:v>Chọn MESSAGE hoặc TRANSACTION_POST và validate.</x:v>
      </x:c>
      <x:c r="F45" s="22" t="str">
        <x:v>Thắng</x:v>
      </x:c>
      <x:c r="G45" s="22" t="str">
        <x:v>P0</x:v>
      </x:c>
      <x:c r="H45" s="22" t="str">
        <x:v>Not Verified</x:v>
      </x:c>
      <x:c r="I45" s="22" t="str"/>
    </x:row>
    <x:row r="46" ht="29" customHeight="1">
      <x:c r="A46" s="32" t="str">
        <x:v>S02-FR02</x:v>
      </x:c>
      <x:c r="B46" s="32" t="str">
        <x:v>S02</x:v>
      </x:c>
      <x:c r="C46" s="32" t="str">
        <x:v>FR</x:v>
      </x:c>
      <x:c r="D46" s="32" t="str">
        <x:v>Analysis</x:v>
      </x:c>
      <x:c r="E46" s="32" t="str">
        <x:v>Text worker trả signals/derived indicators; child/AI theo policy.</x:v>
      </x:c>
      <x:c r="F46" s="32" t="str">
        <x:v>Thắng</x:v>
      </x:c>
      <x:c r="G46" s="32" t="str">
        <x:v>P0</x:v>
      </x:c>
      <x:c r="H46" s="32" t="str">
        <x:v>Not Verified</x:v>
      </x:c>
      <x:c r="I46" s="32" t="str"/>
    </x:row>
    <x:row r="47" ht="29" customHeight="1">
      <x:c r="A47" s="22" t="str">
        <x:v>S02-FR03</x:v>
      </x:c>
      <x:c r="B47" s="22" t="str">
        <x:v>S02</x:v>
      </x:c>
      <x:c r="C47" s="22" t="str">
        <x:v>FR</x:v>
      </x:c>
      <x:c r="D47" s="22" t="str">
        <x:v>Completion</x:v>
      </x:c>
      <x:c r="E47" s="22" t="str">
        <x:v>Deadline/timeout AI tạo degraded thay vì treo.</x:v>
      </x:c>
      <x:c r="F47" s="22" t="str">
        <x:v>Thắng</x:v>
      </x:c>
      <x:c r="G47" s="22" t="str">
        <x:v>P0</x:v>
      </x:c>
      <x:c r="H47" s="22" t="str">
        <x:v>Not Verified</x:v>
      </x:c>
      <x:c r="I47" s="22" t="str"/>
    </x:row>
    <x:row r="48" ht="29" customHeight="1">
      <x:c r="A48" s="32" t="str">
        <x:v>S02-NFR01</x:v>
      </x:c>
      <x:c r="B48" s="32" t="str">
        <x:v>S02</x:v>
      </x:c>
      <x:c r="C48" s="32" t="str">
        <x:v>NFR</x:v>
      </x:c>
      <x:c r="D48" s="32" t="str">
        <x:v>Sensitive text</x:v>
      </x:c>
      <x:c r="E48" s="32" t="str">
        <x:v>Không log raw nội dung nhạy cảm.</x:v>
      </x:c>
      <x:c r="F48" s="32" t="str">
        <x:v>Thắng</x:v>
      </x:c>
      <x:c r="G48" s="32" t="str">
        <x:v>P0</x:v>
      </x:c>
      <x:c r="H48" s="32" t="str">
        <x:v>Not Verified</x:v>
      </x:c>
      <x:c r="I48" s="32" t="str"/>
    </x:row>
    <x:row r="49" ht="29" customHeight="1">
      <x:c r="A49" s="22" t="str">
        <x:v>S02-NFR02</x:v>
      </x:c>
      <x:c r="B49" s="22" t="str">
        <x:v>S02</x:v>
      </x:c>
      <x:c r="C49" s="22" t="str">
        <x:v>NFR</x:v>
      </x:c>
      <x:c r="D49" s="22" t="str">
        <x:v>AI boundary</x:v>
      </x:c>
      <x:c r="E49" s="22" t="str">
        <x:v>AI worker qua AMQP, không direct DB/core; đo riêng accuracy.</x:v>
      </x:c>
      <x:c r="F49" s="22" t="str">
        <x:v>Thắng</x:v>
      </x:c>
      <x:c r="G49" s="22" t="str">
        <x:v>P0</x:v>
      </x:c>
      <x:c r="H49" s="22" t="str">
        <x:v>Not Verified</x:v>
      </x:c>
      <x:c r="I49" s="22" t="str"/>
    </x:row>
    <x:row r="50" ht="29" customHeight="1">
      <x:c r="A50" s="32" t="str">
        <x:v>S03-FR01</x:v>
      </x:c>
      <x:c r="B50" s="32" t="str">
        <x:v>S03</x:v>
      </x:c>
      <x:c r="C50" s="32" t="str">
        <x:v>FR</x:v>
      </x:c>
      <x:c r="D50" s="32" t="str">
        <x:v>PHONE normalize</x:v>
      </x:c>
      <x:c r="E50" s="32" t="str">
        <x:v>Số điện thoại chuẩn hóa theo strategy đúng.</x:v>
      </x:c>
      <x:c r="F50" s="32" t="str">
        <x:v>Kiên</x:v>
      </x:c>
      <x:c r="G50" s="32" t="str">
        <x:v>P0</x:v>
      </x:c>
      <x:c r="H50" s="32" t="str">
        <x:v>Not Verified</x:v>
      </x:c>
      <x:c r="I50" s="32" t="str"/>
    </x:row>
    <x:row r="51" ht="29" customHeight="1">
      <x:c r="A51" s="22" t="str">
        <x:v>S03-FR02</x:v>
      </x:c>
      <x:c r="B51" s="22" t="str">
        <x:v>S03</x:v>
      </x:c>
      <x:c r="C51" s="22" t="str">
        <x:v>FR</x:v>
      </x:c>
      <x:c r="D51" s="22" t="str">
        <x:v>Threat lookup</x:v>
      </x:c>
      <x:c r="E51" s="22" t="str">
        <x:v>Verified observations có evidence; NO_DATA biểu diễn riêng.</x:v>
      </x:c>
      <x:c r="F51" s="22" t="str">
        <x:v>Kiên</x:v>
      </x:c>
      <x:c r="G51" s="22" t="str">
        <x:v>P0</x:v>
      </x:c>
      <x:c r="H51" s="22" t="str">
        <x:v>Not Verified</x:v>
      </x:c>
      <x:c r="I51" s="22" t="str"/>
    </x:row>
    <x:row r="52" ht="29" customHeight="1">
      <x:c r="A52" s="32" t="str">
        <x:v>S03-FR03</x:v>
      </x:c>
      <x:c r="B52" s="32" t="str">
        <x:v>S03</x:v>
      </x:c>
      <x:c r="C52" s="32" t="str">
        <x:v>FR</x:v>
      </x:c>
      <x:c r="D52" s="32" t="str">
        <x:v>Result</x:v>
      </x:c>
      <x:c r="E52" s="32" t="str">
        <x:v>Trả risk result/label consistent với source.</x:v>
      </x:c>
      <x:c r="F52" s="32" t="str">
        <x:v>Kiên</x:v>
      </x:c>
      <x:c r="G52" s="32" t="str">
        <x:v>P0</x:v>
      </x:c>
      <x:c r="H52" s="32" t="str">
        <x:v>Not Verified</x:v>
      </x:c>
      <x:c r="I52" s="32" t="str"/>
    </x:row>
    <x:row r="53" ht="29" customHeight="1">
      <x:c r="A53" s="22" t="str">
        <x:v>S03-NFR01</x:v>
      </x:c>
      <x:c r="B53" s="22" t="str">
        <x:v>S03</x:v>
      </x:c>
      <x:c r="C53" s="22" t="str">
        <x:v>NFR</x:v>
      </x:c>
      <x:c r="D53" s="22" t="str">
        <x:v>False safety</x:v>
      </x:c>
      <x:c r="E53" s="22" t="str">
        <x:v>NO_DATA/REPUTATION_UNAVAILABLE không map thành SAFE.</x:v>
      </x:c>
      <x:c r="F53" s="22" t="str">
        <x:v>Kiên</x:v>
      </x:c>
      <x:c r="G53" s="22" t="str">
        <x:v>P0</x:v>
      </x:c>
      <x:c r="H53" s="22" t="str">
        <x:v>Not Verified</x:v>
      </x:c>
      <x:c r="I53" s="22" t="str"/>
    </x:row>
    <x:row r="54" ht="29" customHeight="1">
      <x:c r="A54" s="32" t="str">
        <x:v>S03-NFR02</x:v>
      </x:c>
      <x:c r="B54" s="32" t="str">
        <x:v>S03</x:v>
      </x:c>
      <x:c r="C54" s="32" t="str">
        <x:v>NFR</x:v>
      </x:c>
      <x:c r="D54" s="32" t="str">
        <x:v>Privacy</x:v>
      </x:c>
      <x:c r="E54" s="32" t="str">
        <x:v>Không lộ PII không cần thiết trong log/UI.</x:v>
      </x:c>
      <x:c r="F54" s="32" t="str">
        <x:v>Kiên</x:v>
      </x:c>
      <x:c r="G54" s="32" t="str">
        <x:v>P0</x:v>
      </x:c>
      <x:c r="H54" s="32" t="str">
        <x:v>Not Verified</x:v>
      </x:c>
      <x:c r="I54" s="32" t="str"/>
    </x:row>
    <x:row r="55" ht="29" customHeight="1">
      <x:c r="A55" s="22" t="str">
        <x:v>S04-FR01</x:v>
      </x:c>
      <x:c r="B55" s="22" t="str">
        <x:v>S04</x:v>
      </x:c>
      <x:c r="C55" s="22" t="str">
        <x:v>FR</x:v>
      </x:c>
      <x:c r="D55" s="22" t="str">
        <x:v>BANK normalize</x:v>
      </x:c>
      <x:c r="E55" s="22" t="str">
        <x:v>BANK_ACCOUNT entityType, value và optional bankCode chính xác.</x:v>
      </x:c>
      <x:c r="F55" s="22" t="str">
        <x:v>Kiên</x:v>
      </x:c>
      <x:c r="G55" s="22" t="str">
        <x:v>P0</x:v>
      </x:c>
      <x:c r="H55" s="22" t="str">
        <x:v>Not Verified</x:v>
      </x:c>
      <x:c r="I55" s="22" t="str"/>
    </x:row>
    <x:row r="56" ht="29" customHeight="1">
      <x:c r="A56" s="32" t="str">
        <x:v>S04-FR02</x:v>
      </x:c>
      <x:c r="B56" s="32" t="str">
        <x:v>S04</x:v>
      </x:c>
      <x:c r="C56" s="32" t="str">
        <x:v>FR</x:v>
      </x:c>
      <x:c r="D56" s="32" t="str">
        <x:v>Lookup</x:v>
      </x:c>
      <x:c r="E56" s="32" t="str">
        <x:v>Không match nhầm cùng account number giữa các bank.</x:v>
      </x:c>
      <x:c r="F56" s="32" t="str">
        <x:v>Kiên</x:v>
      </x:c>
      <x:c r="G56" s="32" t="str">
        <x:v>P0</x:v>
      </x:c>
      <x:c r="H56" s="32" t="str">
        <x:v>Not Verified</x:v>
      </x:c>
      <x:c r="I56" s="32" t="str"/>
    </x:row>
    <x:row r="57" ht="29" customHeight="1">
      <x:c r="A57" s="22" t="str">
        <x:v>S04-FR03</x:v>
      </x:c>
      <x:c r="B57" s="22" t="str">
        <x:v>S04</x:v>
      </x:c>
      <x:c r="C57" s="22" t="str">
        <x:v>FR</x:v>
      </x:c>
      <x:c r="D57" s="22" t="str">
        <x:v>Result</x:v>
      </x:c>
      <x:c r="E57" s="22" t="str">
        <x:v>Có risk/evidence hoặc NO_DATA rõ ràng.</x:v>
      </x:c>
      <x:c r="F57" s="22" t="str">
        <x:v>Kiên</x:v>
      </x:c>
      <x:c r="G57" s="22" t="str">
        <x:v>P0</x:v>
      </x:c>
      <x:c r="H57" s="22" t="str">
        <x:v>Not Verified</x:v>
      </x:c>
      <x:c r="I57" s="22" t="str"/>
    </x:row>
    <x:row r="58" ht="29" customHeight="1">
      <x:c r="A58" s="32" t="str">
        <x:v>S04-NFR01</x:v>
      </x:c>
      <x:c r="B58" s="32" t="str">
        <x:v>S04</x:v>
      </x:c>
      <x:c r="C58" s="32" t="str">
        <x:v>NFR</x:v>
      </x:c>
      <x:c r="D58" s="32" t="str">
        <x:v>False positives</x:v>
      </x:c>
      <x:c r="E58" s="32" t="str">
        <x:v>Chính sách bankCode ambiguous được xử lý rõ.</x:v>
      </x:c>
      <x:c r="F58" s="32" t="str">
        <x:v>Kiên</x:v>
      </x:c>
      <x:c r="G58" s="32" t="str">
        <x:v>P0</x:v>
      </x:c>
      <x:c r="H58" s="32" t="str">
        <x:v>Not Verified</x:v>
      </x:c>
      <x:c r="I58" s="32" t="str"/>
    </x:row>
    <x:row r="59" ht="29" customHeight="1">
      <x:c r="A59" s="22" t="str">
        <x:v>S04-NFR02</x:v>
      </x:c>
      <x:c r="B59" s="22" t="str">
        <x:v>S04</x:v>
      </x:c>
      <x:c r="C59" s="22" t="str">
        <x:v>NFR</x:v>
      </x:c>
      <x:c r="D59" s="22" t="str">
        <x:v>PII</x:v>
      </x:c>
      <x:c r="E59" s="22" t="str">
        <x:v>Mask dữ liệu tài khoản theo role/context.</x:v>
      </x:c>
      <x:c r="F59" s="22" t="str">
        <x:v>Kiên</x:v>
      </x:c>
      <x:c r="G59" s="22" t="str">
        <x:v>P0</x:v>
      </x:c>
      <x:c r="H59" s="22" t="str">
        <x:v>Not Verified</x:v>
      </x:c>
      <x:c r="I59" s="22" t="str"/>
    </x:row>
    <x:row r="60" ht="29" customHeight="1">
      <x:c r="A60" s="32" t="str">
        <x:v>S05-FR01</x:v>
      </x:c>
      <x:c r="B60" s="32" t="str">
        <x:v>S05</x:v>
      </x:c>
      <x:c r="C60" s="32" t="str">
        <x:v>FR</x:v>
      </x:c>
      <x:c r="D60" s="32" t="str">
        <x:v>Decode/classify</x:v>
      </x:c>
      <x:c r="E60" s="32" t="str">
        <x:v>QR data nhận diện URL/Text/VietQR, unsupported riêng.</x:v>
      </x:c>
      <x:c r="F60" s="32" t="str">
        <x:v>Thắng</x:v>
      </x:c>
      <x:c r="G60" s="32" t="str">
        <x:v>P0</x:v>
      </x:c>
      <x:c r="H60" s="32" t="str">
        <x:v>Not Verified</x:v>
      </x:c>
      <x:c r="I60" s="32" t="str"/>
    </x:row>
    <x:row r="61" ht="29" customHeight="1">
      <x:c r="A61" s="22" t="str">
        <x:v>S05-FR02</x:v>
      </x:c>
      <x:c r="B61" s="22" t="str">
        <x:v>S05</x:v>
      </x:c>
      <x:c r="C61" s="22" t="str">
        <x:v>FR</x:v>
      </x:c>
      <x:c r="D61" s="22" t="str">
        <x:v>Child routing</x:v>
      </x:c>
      <x:c r="E61" s="22" t="str">
        <x:v>Chọn child scan theo payload, không tự mở link.</x:v>
      </x:c>
      <x:c r="F61" s="22" t="str">
        <x:v>Thắng</x:v>
      </x:c>
      <x:c r="G61" s="22" t="str">
        <x:v>P0</x:v>
      </x:c>
      <x:c r="H61" s="22" t="str">
        <x:v>Not Verified</x:v>
      </x:c>
      <x:c r="I61" s="22" t="str"/>
    </x:row>
    <x:row r="62" ht="29" customHeight="1">
      <x:c r="A62" s="32" t="str">
        <x:v>S05-FR03</x:v>
      </x:c>
      <x:c r="B62" s="32" t="str">
        <x:v>S05</x:v>
      </x:c>
      <x:c r="C62" s="32" t="str">
        <x:v>FR</x:v>
      </x:c>
      <x:c r="D62" s="32" t="str">
        <x:v>Final result</x:v>
      </x:c>
      <x:c r="E62" s="32" t="str">
        <x:v>Parent kết thúc sau children/timeout/deadline.</x:v>
      </x:c>
      <x:c r="F62" s="32" t="str">
        <x:v>Thắng</x:v>
      </x:c>
      <x:c r="G62" s="32" t="str">
        <x:v>P0</x:v>
      </x:c>
      <x:c r="H62" s="32" t="str">
        <x:v>Not Verified</x:v>
      </x:c>
      <x:c r="I62" s="32" t="str"/>
    </x:row>
    <x:row r="63" ht="29" customHeight="1">
      <x:c r="A63" s="22" t="str">
        <x:v>S05-NFR01</x:v>
      </x:c>
      <x:c r="B63" s="22" t="str">
        <x:v>S05</x:v>
      </x:c>
      <x:c r="C63" s="22" t="str">
        <x:v>NFR</x:v>
      </x:c>
      <x:c r="D63" s="22" t="str">
        <x:v>Privacy</x:v>
      </x:c>
      <x:c r="E63" s="22" t="str">
        <x:v>Không đọc QR/clipboard ngầm; Mobile decode on device, chỉ gửi qrData.</x:v>
      </x:c>
      <x:c r="F63" s="22" t="str">
        <x:v>Thắng</x:v>
      </x:c>
      <x:c r="G63" s="22" t="str">
        <x:v>P0</x:v>
      </x:c>
      <x:c r="H63" s="22" t="str">
        <x:v>Not Verified</x:v>
      </x:c>
      <x:c r="I63" s="22" t="str"/>
    </x:row>
    <x:row r="64" ht="29" customHeight="1">
      <x:c r="A64" s="32" t="str">
        <x:v>S05-NFR02</x:v>
      </x:c>
      <x:c r="B64" s="32" t="str">
        <x:v>S05</x:v>
      </x:c>
      <x:c r="C64" s="32" t="str">
        <x:v>NFR</x:v>
      </x:c>
      <x:c r="D64" s="32" t="str">
        <x:v>Reliability</x:v>
      </x:c>
      <x:c r="E64" s="32" t="str">
        <x:v>Retry/duplicate/nested barrier chịu lỗi đúng policy.</x:v>
      </x:c>
      <x:c r="F64" s="32" t="str">
        <x:v>Thắng</x:v>
      </x:c>
      <x:c r="G64" s="32" t="str">
        <x:v>P0</x:v>
      </x:c>
      <x:c r="H64" s="32" t="str">
        <x:v>Not Verified</x:v>
      </x:c>
      <x:c r="I64" s="32" t="str"/>
    </x:row>
    <x:row r="65" ht="29" customHeight="1">
      <x:c r="A65" s="22" t="str">
        <x:v>R01-FR01</x:v>
      </x:c>
      <x:c r="B65" s="22" t="str">
        <x:v>R01</x:v>
      </x:c>
      <x:c r="C65" s="22" t="str">
        <x:v>FR</x:v>
      </x:c>
      <x:c r="D65" s="22" t="str">
        <x:v>Scan status endpoint</x:v>
      </x:c>
      <x:c r="E65" s="22" t="str">
        <x:v>Dữ liệu scanId/status theo ownership proof.</x:v>
      </x:c>
      <x:c r="F65" s="22" t="str">
        <x:v>Kiên</x:v>
      </x:c>
      <x:c r="G65" s="22" t="str">
        <x:v>P0</x:v>
      </x:c>
      <x:c r="H65" s="22" t="str">
        <x:v>Not Verified</x:v>
      </x:c>
      <x:c r="I65" s="22" t="str"/>
    </x:row>
    <x:row r="66" ht="29" customHeight="1">
      <x:c r="A66" s="32" t="str">
        <x:v>R01-FR02</x:v>
      </x:c>
      <x:c r="B66" s="32" t="str">
        <x:v>R01</x:v>
      </x:c>
      <x:c r="C66" s="32" t="str">
        <x:v>FR</x:v>
      </x:c>
      <x:c r="D66" s="32" t="str">
        <x:v>Client polling</x:v>
      </x:c>
      <x:c r="E66" s="32" t="str">
        <x:v>Dừng khi terminal; không polling vô hạn.</x:v>
      </x:c>
      <x:c r="F66" s="32" t="str">
        <x:v>Kiên</x:v>
      </x:c>
      <x:c r="G66" s="32" t="str">
        <x:v>P0</x:v>
      </x:c>
      <x:c r="H66" s="32" t="str">
        <x:v>Not Verified</x:v>
      </x:c>
      <x:c r="I66" s="32" t="str"/>
    </x:row>
    <x:row r="67" ht="29" customHeight="1">
      <x:c r="A67" s="22" t="str">
        <x:v>R01-FR03</x:v>
      </x:c>
      <x:c r="B67" s="22" t="str">
        <x:v>R01</x:v>
      </x:c>
      <x:c r="C67" s="22" t="str">
        <x:v>FR</x:v>
      </x:c>
      <x:c r="D67" s="22" t="str">
        <x:v>Error states</x:v>
      </x:c>
      <x:c r="E67" s="22" t="str">
        <x:v>Không mất trạng thái FAILED/degraded.</x:v>
      </x:c>
      <x:c r="F67" s="22" t="str">
        <x:v>Kiên</x:v>
      </x:c>
      <x:c r="G67" s="22" t="str">
        <x:v>P0</x:v>
      </x:c>
      <x:c r="H67" s="22" t="str">
        <x:v>Not Verified</x:v>
      </x:c>
      <x:c r="I67" s="22" t="str"/>
    </x:row>
    <x:row r="68" ht="29" customHeight="1">
      <x:c r="A68" s="32" t="str">
        <x:v>R01-NFR01</x:v>
      </x:c>
      <x:c r="B68" s="32" t="str">
        <x:v>R01</x:v>
      </x:c>
      <x:c r="C68" s="32" t="str">
        <x:v>NFR</x:v>
      </x:c>
      <x:c r="D68" s="32" t="str">
        <x:v>Authorization</x:v>
      </x:c>
      <x:c r="E68" s="32" t="str">
        <x:v>Guest proof và user ownership chính xác.</x:v>
      </x:c>
      <x:c r="F68" s="32" t="str">
        <x:v>Kiên</x:v>
      </x:c>
      <x:c r="G68" s="32" t="str">
        <x:v>P0</x:v>
      </x:c>
      <x:c r="H68" s="32" t="str">
        <x:v>Not Verified</x:v>
      </x:c>
      <x:c r="I68" s="32" t="str"/>
    </x:row>
    <x:row r="69" ht="29" customHeight="1">
      <x:c r="A69" s="22" t="str">
        <x:v>R01-NFR02</x:v>
      </x:c>
      <x:c r="B69" s="22" t="str">
        <x:v>R01</x:v>
      </x:c>
      <x:c r="C69" s="22" t="str">
        <x:v>NFR</x:v>
      </x:c>
      <x:c r="D69" s="22" t="str">
        <x:v>Resource use</x:v>
      </x:c>
      <x:c r="E69" s="22" t="str">
        <x:v>Polling interval/backoff hợp lý; không quá tải backend.</x:v>
      </x:c>
      <x:c r="F69" s="22" t="str">
        <x:v>Kiên</x:v>
      </x:c>
      <x:c r="G69" s="22" t="str">
        <x:v>P0</x:v>
      </x:c>
      <x:c r="H69" s="22" t="str">
        <x:v>Not Verified</x:v>
      </x:c>
      <x:c r="I69" s="22" t="str"/>
    </x:row>
    <x:row r="70" ht="29" customHeight="1">
      <x:c r="A70" s="32" t="str">
        <x:v>R02-FR01</x:v>
      </x:c>
      <x:c r="B70" s="32" t="str">
        <x:v>R02</x:v>
      </x:c>
      <x:c r="C70" s="32" t="str">
        <x:v>FR</x:v>
      </x:c>
      <x:c r="D70" s="32" t="str">
        <x:v>Details</x:v>
      </x:c>
      <x:c r="E70" s="32" t="str">
        <x:v>Render RiskResult schema và error/degraded metadata.</x:v>
      </x:c>
      <x:c r="F70" s="32" t="str">
        <x:v>Thắng</x:v>
      </x:c>
      <x:c r="G70" s="32" t="str">
        <x:v>P0</x:v>
      </x:c>
      <x:c r="H70" s="32" t="str">
        <x:v>Not Verified</x:v>
      </x:c>
      <x:c r="I70" s="32" t="str"/>
    </x:row>
    <x:row r="71" ht="29" customHeight="1">
      <x:c r="A71" s="22" t="str">
        <x:v>R02-FR02</x:v>
      </x:c>
      <x:c r="B71" s="22" t="str">
        <x:v>R02</x:v>
      </x:c>
      <x:c r="C71" s="22" t="str">
        <x:v>FR</x:v>
      </x:c>
      <x:c r="D71" s="22" t="str">
        <x:v>Navigation</x:v>
      </x:c>
      <x:c r="E71" s="22" t="str">
        <x:v>Đi từ scan submit hoặc history tới result chính xác.</x:v>
      </x:c>
      <x:c r="F71" s="22" t="str">
        <x:v>Thắng</x:v>
      </x:c>
      <x:c r="G71" s="22" t="str">
        <x:v>P0</x:v>
      </x:c>
      <x:c r="H71" s="22" t="str">
        <x:v>Not Verified</x:v>
      </x:c>
      <x:c r="I71" s="22" t="str"/>
    </x:row>
    <x:row r="72" ht="29" customHeight="1">
      <x:c r="A72" s="32" t="str">
        <x:v>R02-NFR01</x:v>
      </x:c>
      <x:c r="B72" s="32" t="str">
        <x:v>R02</x:v>
      </x:c>
      <x:c r="C72" s="32" t="str">
        <x:v>NFR</x:v>
      </x:c>
      <x:c r="D72" s="32" t="str">
        <x:v>A11y</x:v>
      </x:c>
      <x:c r="E72" s="32" t="str">
        <x:v>Kết quả có text label, không chỉ dùng màu.</x:v>
      </x:c>
      <x:c r="F72" s="32" t="str">
        <x:v>Thắng</x:v>
      </x:c>
      <x:c r="G72" s="32" t="str">
        <x:v>P0</x:v>
      </x:c>
      <x:c r="H72" s="32" t="str">
        <x:v>Not Verified</x:v>
      </x:c>
      <x:c r="I72" s="32" t="str"/>
    </x:row>
    <x:row r="73" ht="29" customHeight="1">
      <x:c r="A73" s="22" t="str">
        <x:v>R02-NFR02</x:v>
      </x:c>
      <x:c r="B73" s="22" t="str">
        <x:v>R02</x:v>
      </x:c>
      <x:c r="C73" s="22" t="str">
        <x:v>NFR</x:v>
      </x:c>
      <x:c r="D73" s="22" t="str">
        <x:v>Privacy</x:v>
      </x:c>
      <x:c r="E73" s="22" t="str">
        <x:v>Mask input nhạy cảm và chặn cross-user IDOR.</x:v>
      </x:c>
      <x:c r="F73" s="22" t="str">
        <x:v>Thắng</x:v>
      </x:c>
      <x:c r="G73" s="22" t="str">
        <x:v>P0</x:v>
      </x:c>
      <x:c r="H73" s="22" t="str">
        <x:v>Not Verified</x:v>
      </x:c>
      <x:c r="I73" s="22" t="str"/>
    </x:row>
    <x:row r="74" ht="29" customHeight="1">
      <x:c r="A74" s="32" t="str">
        <x:v>R03-FR01</x:v>
      </x:c>
      <x:c r="B74" s="32" t="str">
        <x:v>R03</x:v>
      </x:c>
      <x:c r="C74" s="32" t="str">
        <x:v>FR</x:v>
      </x:c>
      <x:c r="D74" s="32" t="str">
        <x:v>History API</x:v>
      </x:c>
      <x:c r="E74" s="32" t="str">
        <x:v>Chỉ trả scan persistent theo owner; phân trang/filter.</x:v>
      </x:c>
      <x:c r="F74" s="32" t="str">
        <x:v>Thắng</x:v>
      </x:c>
      <x:c r="G74" s="32" t="str">
        <x:v>P0</x:v>
      </x:c>
      <x:c r="H74" s="32" t="str">
        <x:v>Not Verified</x:v>
      </x:c>
      <x:c r="I74" s="32" t="str"/>
    </x:row>
    <x:row r="75" ht="29" customHeight="1">
      <x:c r="A75" s="22" t="str">
        <x:v>R03-FR02</x:v>
      </x:c>
      <x:c r="B75" s="22" t="str">
        <x:v>R03</x:v>
      </x:c>
      <x:c r="C75" s="22" t="str">
        <x:v>FR</x:v>
      </x:c>
      <x:c r="D75" s="22" t="str">
        <x:v>History UI</x:v>
      </x:c>
      <x:c r="E75" s="22" t="str">
        <x:v>Hiển thị danh sách và điều hướng detail.</x:v>
      </x:c>
      <x:c r="F75" s="22" t="str">
        <x:v>Thắng</x:v>
      </x:c>
      <x:c r="G75" s="22" t="str">
        <x:v>P0</x:v>
      </x:c>
      <x:c r="H75" s="22" t="str">
        <x:v>Not Verified</x:v>
      </x:c>
      <x:c r="I75" s="22" t="str"/>
    </x:row>
    <x:row r="76" ht="29" customHeight="1">
      <x:c r="A76" s="32" t="str">
        <x:v>R03-FR03</x:v>
      </x:c>
      <x:c r="B76" s="32" t="str">
        <x:v>R03</x:v>
      </x:c>
      <x:c r="C76" s="32" t="str">
        <x:v>FR</x:v>
      </x:c>
      <x:c r="D76" s="32" t="str">
        <x:v>Guest policy</x:v>
      </x:c>
      <x:c r="E76" s="32" t="str">
        <x:v>Guest không tạo persistent account history.</x:v>
      </x:c>
      <x:c r="F76" s="32" t="str">
        <x:v>Thắng</x:v>
      </x:c>
      <x:c r="G76" s="32" t="str">
        <x:v>P0</x:v>
      </x:c>
      <x:c r="H76" s="32" t="str">
        <x:v>Not Verified</x:v>
      </x:c>
      <x:c r="I76" s="32" t="str"/>
    </x:row>
    <x:row r="77" ht="29" customHeight="1">
      <x:c r="A77" s="22" t="str">
        <x:v>R03-NFR01</x:v>
      </x:c>
      <x:c r="B77" s="22" t="str">
        <x:v>R03</x:v>
      </x:c>
      <x:c r="C77" s="22" t="str">
        <x:v>NFR</x:v>
      </x:c>
      <x:c r="D77" s="22" t="str">
        <x:v>IDOR</x:v>
      </x:c>
      <x:c r="E77" s="22" t="str">
        <x:v>User B không xem history User A.</x:v>
      </x:c>
      <x:c r="F77" s="22" t="str">
        <x:v>Thắng</x:v>
      </x:c>
      <x:c r="G77" s="22" t="str">
        <x:v>P0</x:v>
      </x:c>
      <x:c r="H77" s="22" t="str">
        <x:v>Not Verified</x:v>
      </x:c>
      <x:c r="I77" s="22" t="str"/>
    </x:row>
    <x:row r="78" ht="29" customHeight="1">
      <x:c r="A78" s="32" t="str">
        <x:v>R03-NFR02</x:v>
      </x:c>
      <x:c r="B78" s="32" t="str">
        <x:v>R03</x:v>
      </x:c>
      <x:c r="C78" s="32" t="str">
        <x:v>NFR</x:v>
      </x:c>
      <x:c r="D78" s="32" t="str">
        <x:v>Performance</x:v>
      </x:c>
      <x:c r="E78" s="32" t="str">
        <x:v>Pagination server-side tránh trả toàn bộ lịch sử.</x:v>
      </x:c>
      <x:c r="F78" s="32" t="str">
        <x:v>Thắng</x:v>
      </x:c>
      <x:c r="G78" s="32" t="str">
        <x:v>P0</x:v>
      </x:c>
      <x:c r="H78" s="32" t="str">
        <x:v>Not Verified</x:v>
      </x:c>
      <x:c r="I78" s="32" t="str"/>
    </x:row>
    <x:row r="79" ht="29" customHeight="1">
      <x:c r="A79" s="22" t="str">
        <x:v>R04-FR01</x:v>
      </x:c>
      <x:c r="B79" s="22" t="str">
        <x:v>R04</x:v>
      </x:c>
      <x:c r="C79" s="22" t="str">
        <x:v>FR</x:v>
      </x:c>
      <x:c r="D79" s="22" t="str">
        <x:v>Export request</x:v>
      </x:c>
      <x:c r="E79" s="22" t="str">
        <x:v>Tạo artifact đúng format tối thiểu MVP.</x:v>
      </x:c>
      <x:c r="F79" s="22" t="str">
        <x:v>Thắng</x:v>
      </x:c>
      <x:c r="G79" s="22" t="str">
        <x:v>P0</x:v>
      </x:c>
      <x:c r="H79" s="22" t="str">
        <x:v>Not Verified</x:v>
      </x:c>
      <x:c r="I79" s="22" t="str"/>
    </x:row>
    <x:row r="80" ht="29" customHeight="1">
      <x:c r="A80" s="32" t="str">
        <x:v>R04-FR02</x:v>
      </x:c>
      <x:c r="B80" s="32" t="str">
        <x:v>R04</x:v>
      </x:c>
      <x:c r="C80" s="32" t="str">
        <x:v>FR</x:v>
      </x:c>
      <x:c r="D80" s="32" t="str">
        <x:v>Download</x:v>
      </x:c>
      <x:c r="E80" s="32" t="str">
        <x:v>Download link/token kiểm tra ownership.</x:v>
      </x:c>
      <x:c r="F80" s="32" t="str">
        <x:v>Thắng</x:v>
      </x:c>
      <x:c r="G80" s="32" t="str">
        <x:v>P0</x:v>
      </x:c>
      <x:c r="H80" s="32" t="str">
        <x:v>Not Verified</x:v>
      </x:c>
      <x:c r="I80" s="32" t="str"/>
    </x:row>
    <x:row r="81" ht="29" customHeight="1">
      <x:c r="A81" s="22" t="str">
        <x:v>R04-FR03</x:v>
      </x:c>
      <x:c r="B81" s="22" t="str">
        <x:v>R04</x:v>
      </x:c>
      <x:c r="C81" s="22" t="str">
        <x:v>FR</x:v>
      </x:c>
      <x:c r="D81" s="22" t="str">
        <x:v>Content</x:v>
      </x:c>
      <x:c r="E81" s="22" t="str">
        <x:v>Có score/evidence/time và disclaimer.</x:v>
      </x:c>
      <x:c r="F81" s="22" t="str">
        <x:v>Thắng</x:v>
      </x:c>
      <x:c r="G81" s="22" t="str">
        <x:v>P0</x:v>
      </x:c>
      <x:c r="H81" s="22" t="str">
        <x:v>Not Verified</x:v>
      </x:c>
      <x:c r="I81" s="22" t="str"/>
    </x:row>
    <x:row r="82" ht="29" customHeight="1">
      <x:c r="A82" s="32" t="str">
        <x:v>R04-NFR01</x:v>
      </x:c>
      <x:c r="B82" s="32" t="str">
        <x:v>R04</x:v>
      </x:c>
      <x:c r="C82" s="32" t="str">
        <x:v>NFR</x:v>
      </x:c>
      <x:c r="D82" s="32" t="str">
        <x:v>Secure download</x:v>
      </x:c>
      <x:c r="E82" s="32" t="str">
        <x:v>URL không public lộ dữ liệu người khác.</x:v>
      </x:c>
      <x:c r="F82" s="32" t="str">
        <x:v>Thắng</x:v>
      </x:c>
      <x:c r="G82" s="32" t="str">
        <x:v>P0</x:v>
      </x:c>
      <x:c r="H82" s="32" t="str">
        <x:v>Not Verified</x:v>
      </x:c>
      <x:c r="I82" s="32" t="str"/>
    </x:row>
    <x:row r="83" ht="29" customHeight="1">
      <x:c r="A83" s="22" t="str">
        <x:v>R04-NFR02</x:v>
      </x:c>
      <x:c r="B83" s="22" t="str">
        <x:v>R04</x:v>
      </x:c>
      <x:c r="C83" s="22" t="str">
        <x:v>NFR</x:v>
      </x:c>
      <x:c r="D83" s="22" t="str">
        <x:v>Durability</x:v>
      </x:c>
      <x:c r="E83" s="22" t="str">
        <x:v>Download hoặc failure state rõ; không mất file khi retry.</x:v>
      </x:c>
      <x:c r="F83" s="22" t="str">
        <x:v>Thắng</x:v>
      </x:c>
      <x:c r="G83" s="22" t="str">
        <x:v>P0</x:v>
      </x:c>
      <x:c r="H83" s="22" t="str">
        <x:v>Not Verified</x:v>
      </x:c>
      <x:c r="I83" s="22" t="str"/>
    </x:row>
    <x:row r="84" ht="29" customHeight="1">
      <x:c r="A84" s="32" t="str">
        <x:v>R05-FR01</x:v>
      </x:c>
      <x:c r="B84" s="32" t="str">
        <x:v>R05</x:v>
      </x:c>
      <x:c r="C84" s="32" t="str">
        <x:v>FR</x:v>
      </x:c>
      <x:c r="D84" s="32" t="str">
        <x:v>Share</x:v>
      </x:c>
      <x:c r="E84" s="32" t="str">
        <x:v>Link/token có scope và expiry nếu policy yêu cầu.</x:v>
      </x:c>
      <x:c r="F84" s="32" t="str">
        <x:v>Khải</x:v>
      </x:c>
      <x:c r="G84" s="32" t="str">
        <x:v>P2</x:v>
      </x:c>
      <x:c r="H84" s="32" t="str">
        <x:v>Not Verified</x:v>
      </x:c>
      <x:c r="I84" s="32" t="str"/>
    </x:row>
    <x:row r="85" ht="29" customHeight="1">
      <x:c r="A85" s="22" t="str">
        <x:v>R05-FR02</x:v>
      </x:c>
      <x:c r="B85" s="22" t="str">
        <x:v>R05</x:v>
      </x:c>
      <x:c r="C85" s="22" t="str">
        <x:v>FR</x:v>
      </x:c>
      <x:c r="D85" s="22" t="str">
        <x:v>Revoke</x:v>
      </x:c>
      <x:c r="E85" s="22" t="str">
        <x:v>Quyền thu hồi hoặc giới hạn đúng policy.</x:v>
      </x:c>
      <x:c r="F85" s="22" t="str">
        <x:v>Khải</x:v>
      </x:c>
      <x:c r="G85" s="22" t="str">
        <x:v>P2</x:v>
      </x:c>
      <x:c r="H85" s="22" t="str">
        <x:v>Not Verified</x:v>
      </x:c>
      <x:c r="I85" s="22" t="str"/>
    </x:row>
    <x:row r="86" ht="29" customHeight="1">
      <x:c r="A86" s="32" t="str">
        <x:v>R05-NFR01</x:v>
      </x:c>
      <x:c r="B86" s="32" t="str">
        <x:v>R05</x:v>
      </x:c>
      <x:c r="C86" s="32" t="str">
        <x:v>NFR</x:v>
      </x:c>
      <x:c r="D86" s="32" t="str">
        <x:v>Privacy</x:v>
      </x:c>
      <x:c r="E86" s="32" t="str">
        <x:v>Không tự public scan của Guest/User.</x:v>
      </x:c>
      <x:c r="F86" s="32" t="str">
        <x:v>Khải</x:v>
      </x:c>
      <x:c r="G86" s="32" t="str">
        <x:v>P2</x:v>
      </x:c>
      <x:c r="H86" s="32" t="str">
        <x:v>Not Verified</x:v>
      </x:c>
      <x:c r="I86" s="32" t="str"/>
    </x:row>
    <x:row r="87" ht="29" customHeight="1">
      <x:c r="A87" s="22" t="str">
        <x:v>R05-NFR02</x:v>
      </x:c>
      <x:c r="B87" s="22" t="str">
        <x:v>R05</x:v>
      </x:c>
      <x:c r="C87" s="22" t="str">
        <x:v>NFR</x:v>
      </x:c>
      <x:c r="D87" s="22" t="str">
        <x:v>Security</x:v>
      </x:c>
      <x:c r="E87" s="22" t="str">
        <x:v>Không IDOR hoặc đoán share token.</x:v>
      </x:c>
      <x:c r="F87" s="22" t="str">
        <x:v>Khải</x:v>
      </x:c>
      <x:c r="G87" s="22" t="str">
        <x:v>P2</x:v>
      </x:c>
      <x:c r="H87" s="22" t="str">
        <x:v>Not Verified</x:v>
      </x:c>
      <x:c r="I87" s="22" t="str"/>
    </x:row>
    <x:row r="88" ht="29" customHeight="1">
      <x:c r="A88" s="32" t="str">
        <x:v>C01-FR01</x:v>
      </x:c>
      <x:c r="B88" s="32" t="str">
        <x:v>C01</x:v>
      </x:c>
      <x:c r="C88" s="32" t="str">
        <x:v>FR</x:v>
      </x:c>
      <x:c r="D88" s="32" t="str">
        <x:v>Submit report</x:v>
      </x:c>
      <x:c r="E88" s="32" t="str">
        <x:v>Validate report type/content; lưu trạng thái PENDING.</x:v>
      </x:c>
      <x:c r="F88" s="32" t="str">
        <x:v>Hùng</x:v>
      </x:c>
      <x:c r="G88" s="32" t="str">
        <x:v>P0</x:v>
      </x:c>
      <x:c r="H88" s="32" t="str">
        <x:v>Not Verified</x:v>
      </x:c>
      <x:c r="I88" s="32" t="str"/>
    </x:row>
    <x:row r="89" ht="29" customHeight="1">
      <x:c r="A89" s="22" t="str">
        <x:v>C01-FR02</x:v>
      </x:c>
      <x:c r="B89" s="22" t="str">
        <x:v>C01</x:v>
      </x:c>
      <x:c r="C89" s="22" t="str">
        <x:v>FR</x:v>
      </x:c>
      <x:c r="D89" s="22" t="str">
        <x:v>Evidence</x:v>
      </x:c>
      <x:c r="E89" s="22" t="str">
        <x:v>Upload bằng chứng đúng giới hạn hoặc fixture.</x:v>
      </x:c>
      <x:c r="F89" s="22" t="str">
        <x:v>Hùng</x:v>
      </x:c>
      <x:c r="G89" s="22" t="str">
        <x:v>P0</x:v>
      </x:c>
      <x:c r="H89" s="22" t="str">
        <x:v>Not Verified</x:v>
      </x:c>
      <x:c r="I89" s="22" t="str"/>
    </x:row>
    <x:row r="90" ht="29" customHeight="1">
      <x:c r="A90" s="32" t="str">
        <x:v>C01-FR03</x:v>
      </x:c>
      <x:c r="B90" s="32" t="str">
        <x:v>C01</x:v>
      </x:c>
      <x:c r="C90" s="32" t="str">
        <x:v>FR</x:v>
      </x:c>
      <x:c r="D90" s="32" t="str">
        <x:v>Confirmation</x:v>
      </x:c>
      <x:c r="E90" s="32" t="str">
        <x:v>User thấy reportId/ack.</x:v>
      </x:c>
      <x:c r="F90" s="32" t="str">
        <x:v>Hùng</x:v>
      </x:c>
      <x:c r="G90" s="32" t="str">
        <x:v>P0</x:v>
      </x:c>
      <x:c r="H90" s="32" t="str">
        <x:v>Not Verified</x:v>
      </x:c>
      <x:c r="I90" s="32" t="str"/>
    </x:row>
    <x:row r="91" ht="29" customHeight="1">
      <x:c r="A91" s="22" t="str">
        <x:v>C01-NFR01</x:v>
      </x:c>
      <x:c r="B91" s="22" t="str">
        <x:v>C01</x:v>
      </x:c>
      <x:c r="C91" s="22" t="str">
        <x:v>NFR</x:v>
      </x:c>
      <x:c r="D91" s="22" t="str">
        <x:v>Abuse</x:v>
      </x:c>
      <x:c r="E91" s="22" t="str">
        <x:v>Giới hạn spam/rate-limit, validate file uploads.</x:v>
      </x:c>
      <x:c r="F91" s="22" t="str">
        <x:v>Hùng</x:v>
      </x:c>
      <x:c r="G91" s="22" t="str">
        <x:v>P0</x:v>
      </x:c>
      <x:c r="H91" s="22" t="str">
        <x:v>Not Verified</x:v>
      </x:c>
      <x:c r="I91" s="22" t="str"/>
    </x:row>
    <x:row r="92" ht="29" customHeight="1">
      <x:c r="A92" s="32" t="str">
        <x:v>C01-NFR02</x:v>
      </x:c>
      <x:c r="B92" s="32" t="str">
        <x:v>C01</x:v>
      </x:c>
      <x:c r="C92" s="32" t="str">
        <x:v>NFR</x:v>
      </x:c>
      <x:c r="D92" s="32" t="str">
        <x:v>Privacy</x:v>
      </x:c>
      <x:c r="E92" s="32" t="str">
        <x:v>Không lộ reporter PII và evidence URL public.</x:v>
      </x:c>
      <x:c r="F92" s="32" t="str">
        <x:v>Hùng</x:v>
      </x:c>
      <x:c r="G92" s="32" t="str">
        <x:v>P0</x:v>
      </x:c>
      <x:c r="H92" s="32" t="str">
        <x:v>Not Verified</x:v>
      </x:c>
      <x:c r="I92" s="32" t="str"/>
    </x:row>
    <x:row r="93" ht="29" customHeight="1">
      <x:c r="A93" s="22" t="str">
        <x:v>C02-FR01</x:v>
      </x:c>
      <x:c r="B93" s="22" t="str">
        <x:v>C02</x:v>
      </x:c>
      <x:c r="C93" s="22" t="str">
        <x:v>FR</x:v>
      </x:c>
      <x:c r="D93" s="22" t="str">
        <x:v>Report list/detail</x:v>
      </x:c>
      <x:c r="E93" s="22" t="str">
        <x:v>Chỉ report do user sở hữu được truy cập.</x:v>
      </x:c>
      <x:c r="F93" s="22" t="str">
        <x:v>Khải</x:v>
      </x:c>
      <x:c r="G93" s="22" t="str">
        <x:v>P1</x:v>
      </x:c>
      <x:c r="H93" s="22" t="str">
        <x:v>Not Verified</x:v>
      </x:c>
      <x:c r="I93" s="22" t="str"/>
    </x:row>
    <x:row r="94" ht="29" customHeight="1">
      <x:c r="A94" s="32" t="str">
        <x:v>C02-FR02</x:v>
      </x:c>
      <x:c r="B94" s="32" t="str">
        <x:v>C02</x:v>
      </x:c>
      <x:c r="C94" s="32" t="str">
        <x:v>FR</x:v>
      </x:c>
      <x:c r="D94" s="32" t="str">
        <x:v>Status</x:v>
      </x:c>
      <x:c r="E94" s="32" t="str">
        <x:v>Hiển thị trạng thái với timeline/timestamp.</x:v>
      </x:c>
      <x:c r="F94" s="32" t="str">
        <x:v>Khải</x:v>
      </x:c>
      <x:c r="G94" s="32" t="str">
        <x:v>P1</x:v>
      </x:c>
      <x:c r="H94" s="32" t="str">
        <x:v>Not Verified</x:v>
      </x:c>
      <x:c r="I94" s="32" t="str"/>
    </x:row>
    <x:row r="95" ht="29" customHeight="1">
      <x:c r="A95" s="22" t="str">
        <x:v>C02-NFR01</x:v>
      </x:c>
      <x:c r="B95" s="22" t="str">
        <x:v>C02</x:v>
      </x:c>
      <x:c r="C95" s="22" t="str">
        <x:v>NFR</x:v>
      </x:c>
      <x:c r="D95" s="22" t="str">
        <x:v>Authorization</x:v>
      </x:c>
      <x:c r="E95" s="22" t="str">
        <x:v>Chặn IDOR và information leak.</x:v>
      </x:c>
      <x:c r="F95" s="22" t="str">
        <x:v>Khải</x:v>
      </x:c>
      <x:c r="G95" s="22" t="str">
        <x:v>P1</x:v>
      </x:c>
      <x:c r="H95" s="22" t="str">
        <x:v>Not Verified</x:v>
      </x:c>
      <x:c r="I95" s="22" t="str"/>
    </x:row>
    <x:row r="96" ht="29" customHeight="1">
      <x:c r="A96" s="32" t="str">
        <x:v>C02-NFR02</x:v>
      </x:c>
      <x:c r="B96" s="32" t="str">
        <x:v>C02</x:v>
      </x:c>
      <x:c r="C96" s="32" t="str">
        <x:v>NFR</x:v>
      </x:c>
      <x:c r="D96" s="32" t="str">
        <x:v>Usability</x:v>
      </x:c>
      <x:c r="E96" s="32" t="str">
        <x:v>Refresh giữ trạng thái chính xác.</x:v>
      </x:c>
      <x:c r="F96" s="32" t="str">
        <x:v>Khải</x:v>
      </x:c>
      <x:c r="G96" s="32" t="str">
        <x:v>P1</x:v>
      </x:c>
      <x:c r="H96" s="32" t="str">
        <x:v>Not Verified</x:v>
      </x:c>
      <x:c r="I96" s="32" t="str"/>
    </x:row>
    <x:row r="97" ht="29" customHeight="1">
      <x:c r="A97" s="22" t="str">
        <x:v>C03-FR01</x:v>
      </x:c>
      <x:c r="B97" s="22" t="str">
        <x:v>C03</x:v>
      </x:c>
      <x:c r="C97" s="22" t="str">
        <x:v>FR</x:v>
      </x:c>
      <x:c r="D97" s="22" t="str">
        <x:v>Review</x:v>
      </x:c>
      <x:c r="E97" s="22" t="str">
        <x:v>Chỉ moderator có thể xử lý, ghi decision/actor/time.</x:v>
      </x:c>
      <x:c r="F97" s="22" t="str">
        <x:v>Hùng</x:v>
      </x:c>
      <x:c r="G97" s="22" t="str">
        <x:v>P0</x:v>
      </x:c>
      <x:c r="H97" s="22" t="str">
        <x:v>Not Verified</x:v>
      </x:c>
      <x:c r="I97" s="22" t="str"/>
    </x:row>
    <x:row r="98" ht="29" customHeight="1">
      <x:c r="A98" s="32" t="str">
        <x:v>C03-FR02</x:v>
      </x:c>
      <x:c r="B98" s="32" t="str">
        <x:v>C03</x:v>
      </x:c>
      <x:c r="C98" s="32" t="str">
        <x:v>FR</x:v>
      </x:c>
      <x:c r="D98" s="32" t="str">
        <x:v>Bridge</x:v>
      </x:c>
      <x:c r="E98" s="32" t="str">
        <x:v>VERIFIED report tạo observation hợp lệ; REJECTED không tạo reputation.</x:v>
      </x:c>
      <x:c r="F98" s="32" t="str">
        <x:v>Hùng</x:v>
      </x:c>
      <x:c r="G98" s="32" t="str">
        <x:v>P0</x:v>
      </x:c>
      <x:c r="H98" s="32" t="str">
        <x:v>Not Verified</x:v>
      </x:c>
      <x:c r="I98" s="32" t="str"/>
    </x:row>
    <x:row r="99" ht="29" customHeight="1">
      <x:c r="A99" s="22" t="str">
        <x:v>C03-FR03</x:v>
      </x:c>
      <x:c r="B99" s="22" t="str">
        <x:v>C03</x:v>
      </x:c>
      <x:c r="C99" s="22" t="str">
        <x:v>FR</x:v>
      </x:c>
      <x:c r="D99" s="22" t="str">
        <x:v>UX</x:v>
      </x:c>
      <x:c r="E99" s="22" t="str">
        <x:v>Queue + evidence + decision + trạng thái.</x:v>
      </x:c>
      <x:c r="F99" s="22" t="str">
        <x:v>Hùng</x:v>
      </x:c>
      <x:c r="G99" s="22" t="str">
        <x:v>P0</x:v>
      </x:c>
      <x:c r="H99" s="22" t="str">
        <x:v>Not Verified</x:v>
      </x:c>
      <x:c r="I99" s="22" t="str"/>
    </x:row>
    <x:row r="100" ht="29" customHeight="1">
      <x:c r="A100" s="32" t="str">
        <x:v>C03-NFR01</x:v>
      </x:c>
      <x:c r="B100" s="32" t="str">
        <x:v>C03</x:v>
      </x:c>
      <x:c r="C100" s="32" t="str">
        <x:v>NFR</x:v>
      </x:c>
      <x:c r="D100" s="32" t="str">
        <x:v>Provenance</x:v>
      </x:c>
      <x:c r="E100" s="32" t="str">
        <x:v>Verified signal giữ source/report proof, không tự coi reports chưa duyệt là sự thật.</x:v>
      </x:c>
      <x:c r="F100" s="32" t="str">
        <x:v>Hùng</x:v>
      </x:c>
      <x:c r="G100" s="32" t="str">
        <x:v>P0</x:v>
      </x:c>
      <x:c r="H100" s="32" t="str">
        <x:v>Not Verified</x:v>
      </x:c>
      <x:c r="I100" s="32" t="str"/>
    </x:row>
    <x:row r="101" ht="29" customHeight="1">
      <x:c r="A101" s="22" t="str">
        <x:v>C03-NFR02</x:v>
      </x:c>
      <x:c r="B101" s="22" t="str">
        <x:v>C03</x:v>
      </x:c>
      <x:c r="C101" s="22" t="str">
        <x:v>NFR</x:v>
      </x:c>
      <x:c r="D101" s="22" t="str">
        <x:v>Concurrency</x:v>
      </x:c>
      <x:c r="E101" s="22" t="str">
        <x:v>Không quyết định trùng/lost update; audit đầy đủ.</x:v>
      </x:c>
      <x:c r="F101" s="22" t="str">
        <x:v>Hùng</x:v>
      </x:c>
      <x:c r="G101" s="22" t="str">
        <x:v>P0</x:v>
      </x:c>
      <x:c r="H101" s="22" t="str">
        <x:v>Not Verified</x:v>
      </x:c>
      <x:c r="I101" s="22" t="str"/>
    </x:row>
    <x:row r="102" ht="29" customHeight="1">
      <x:c r="A102" s="32" t="str">
        <x:v>T01-FR01</x:v>
      </x:c>
      <x:c r="B102" s="32" t="str">
        <x:v>T01</x:v>
      </x:c>
      <x:c r="C102" s="32" t="str">
        <x:v>FR</x:v>
      </x:c>
      <x:c r="D102" s="32" t="str">
        <x:v>List source</x:v>
      </x:c>
      <x:c r="E102" s="32" t="str">
        <x:v>Đọc nguồn configured và sync metadata.</x:v>
      </x:c>
      <x:c r="F102" s="32" t="str">
        <x:v>Khải</x:v>
      </x:c>
      <x:c r="G102" s="32" t="str">
        <x:v>P0</x:v>
      </x:c>
      <x:c r="H102" s="32" t="str">
        <x:v>Not Verified</x:v>
      </x:c>
      <x:c r="I102" s="32" t="str"/>
    </x:row>
    <x:row r="103" ht="29" customHeight="1">
      <x:c r="A103" s="22" t="str">
        <x:v>T01-FR02</x:v>
      </x:c>
      <x:c r="B103" s="22" t="str">
        <x:v>T01</x:v>
      </x:c>
      <x:c r="C103" s="22" t="str">
        <x:v>FR</x:v>
      </x:c>
      <x:c r="D103" s="22" t="str">
        <x:v>Admin UI</x:v>
      </x:c>
      <x:c r="E103" s="22" t="str">
        <x:v>Danh sách cơ bản hỗ trợ trạng thái trống/lỗi.</x:v>
      </x:c>
      <x:c r="F103" s="22" t="str">
        <x:v>Khải</x:v>
      </x:c>
      <x:c r="G103" s="22" t="str">
        <x:v>P0</x:v>
      </x:c>
      <x:c r="H103" s="22" t="str">
        <x:v>Not Verified</x:v>
      </x:c>
      <x:c r="I103" s="22" t="str"/>
    </x:row>
    <x:row r="104" ht="29" customHeight="1">
      <x:c r="A104" s="32" t="str">
        <x:v>T01-NFR01</x:v>
      </x:c>
      <x:c r="B104" s="32" t="str">
        <x:v>T01</x:v>
      </x:c>
      <x:c r="C104" s="32" t="str">
        <x:v>NFR</x:v>
      </x:c>
      <x:c r="D104" s="32" t="str">
        <x:v>RBAC</x:v>
      </x:c>
      <x:c r="E104" s="32" t="str">
        <x:v>User không được truy cập nguồn admin.</x:v>
      </x:c>
      <x:c r="F104" s="32" t="str">
        <x:v>Khải</x:v>
      </x:c>
      <x:c r="G104" s="32" t="str">
        <x:v>P0</x:v>
      </x:c>
      <x:c r="H104" s="32" t="str">
        <x:v>Not Verified</x:v>
      </x:c>
      <x:c r="I104" s="32" t="str"/>
    </x:row>
    <x:row r="105" ht="29" customHeight="1">
      <x:c r="A105" s="22" t="str">
        <x:v>T01-NFR02</x:v>
      </x:c>
      <x:c r="B105" s="22" t="str">
        <x:v>T01</x:v>
      </x:c>
      <x:c r="C105" s="22" t="str">
        <x:v>NFR</x:v>
      </x:c>
      <x:c r="D105" s="22" t="str">
        <x:v>Consistency</x:v>
      </x:c>
      <x:c r="E105" s="22" t="str">
        <x:v>Sync timestamp/count phản ánh data thực.</x:v>
      </x:c>
      <x:c r="F105" s="22" t="str">
        <x:v>Khải</x:v>
      </x:c>
      <x:c r="G105" s="22" t="str">
        <x:v>P0</x:v>
      </x:c>
      <x:c r="H105" s="22" t="str">
        <x:v>Not Verified</x:v>
      </x:c>
      <x:c r="I105" s="22" t="str"/>
    </x:row>
    <x:row r="106" ht="29" customHeight="1">
      <x:c r="A106" s="32" t="str">
        <x:v>T02-FR01</x:v>
      </x:c>
      <x:c r="B106" s="32" t="str">
        <x:v>T02</x:v>
      </x:c>
      <x:c r="C106" s="32" t="str">
        <x:v>FR</x:v>
      </x:c>
      <x:c r="D106" s="32" t="str">
        <x:v>Toggle source</x:v>
      </x:c>
      <x:c r="E106" s="32" t="str">
        <x:v>Persist trạng thái theo policy.</x:v>
      </x:c>
      <x:c r="F106" s="32" t="str">
        <x:v>Kiên</x:v>
      </x:c>
      <x:c r="G106" s="32" t="str">
        <x:v>P1</x:v>
      </x:c>
      <x:c r="H106" s="32" t="str">
        <x:v>Not Verified</x:v>
      </x:c>
      <x:c r="I106" s="32" t="str"/>
    </x:row>
    <x:row r="107" ht="29" customHeight="1">
      <x:c r="A107" s="22" t="str">
        <x:v>T02-FR02</x:v>
      </x:c>
      <x:c r="B107" s="22" t="str">
        <x:v>T02</x:v>
      </x:c>
      <x:c r="C107" s="22" t="str">
        <x:v>FR</x:v>
      </x:c>
      <x:c r="D107" s="22" t="str">
        <x:v>Effect</x:v>
      </x:c>
      <x:c r="E107" s="22" t="str">
        <x:v>Nguồn disabled không tạo sync mới nếu policy quy định.</x:v>
      </x:c>
      <x:c r="F107" s="22" t="str">
        <x:v>Kiên</x:v>
      </x:c>
      <x:c r="G107" s="22" t="str">
        <x:v>P1</x:v>
      </x:c>
      <x:c r="H107" s="22" t="str">
        <x:v>Not Verified</x:v>
      </x:c>
      <x:c r="I107" s="22" t="str"/>
    </x:row>
    <x:row r="108" ht="29" customHeight="1">
      <x:c r="A108" s="32" t="str">
        <x:v>T02-NFR01</x:v>
      </x:c>
      <x:c r="B108" s="32" t="str">
        <x:v>T02</x:v>
      </x:c>
      <x:c r="C108" s="32" t="str">
        <x:v>NFR</x:v>
      </x:c>
      <x:c r="D108" s="32" t="str">
        <x:v>Audit</x:v>
      </x:c>
      <x:c r="E108" s="32" t="str">
        <x:v>Ghi action người thay đổi.</x:v>
      </x:c>
      <x:c r="F108" s="32" t="str">
        <x:v>Kiên</x:v>
      </x:c>
      <x:c r="G108" s="32" t="str">
        <x:v>P1</x:v>
      </x:c>
      <x:c r="H108" s="32" t="str">
        <x:v>Not Verified</x:v>
      </x:c>
      <x:c r="I108" s="32" t="str"/>
    </x:row>
    <x:row r="109" ht="29" customHeight="1">
      <x:c r="A109" s="22" t="str">
        <x:v>T02-NFR02</x:v>
      </x:c>
      <x:c r="B109" s="22" t="str">
        <x:v>T02</x:v>
      </x:c>
      <x:c r="C109" s="22" t="str">
        <x:v>NFR</x:v>
      </x:c>
      <x:c r="D109" s="22" t="str">
        <x:v>RBAC</x:v>
      </x:c>
      <x:c r="E109" s="22" t="str">
        <x:v>User thường không được toggle.</x:v>
      </x:c>
      <x:c r="F109" s="22" t="str">
        <x:v>Kiên</x:v>
      </x:c>
      <x:c r="G109" s="22" t="str">
        <x:v>P1</x:v>
      </x:c>
      <x:c r="H109" s="22" t="str">
        <x:v>Not Verified</x:v>
      </x:c>
      <x:c r="I109" s="22" t="str"/>
    </x:row>
    <x:row r="110" ht="29" customHeight="1">
      <x:c r="A110" s="32" t="str">
        <x:v>T03-FR01</x:v>
      </x:c>
      <x:c r="B110" s="32" t="str">
        <x:v>T03</x:v>
      </x:c>
      <x:c r="C110" s="32" t="str">
        <x:v>FR</x:v>
      </x:c>
      <x:c r="D110" s="32" t="str">
        <x:v>Ingest</x:v>
      </x:c>
      <x:c r="E110" s="32" t="str">
        <x:v>Normalize + deduplicate + source provenance.</x:v>
      </x:c>
      <x:c r="F110" s="32" t="str">
        <x:v>Kiên</x:v>
      </x:c>
      <x:c r="G110" s="32" t="str">
        <x:v>P0</x:v>
      </x:c>
      <x:c r="H110" s="32" t="str">
        <x:v>Not Verified</x:v>
      </x:c>
      <x:c r="I110" s="32" t="str"/>
    </x:row>
    <x:row r="111" ht="29" customHeight="1">
      <x:c r="A111" s="22" t="str">
        <x:v>T03-FR02</x:v>
      </x:c>
      <x:c r="B111" s="22" t="str">
        <x:v>T03</x:v>
      </x:c>
      <x:c r="C111" s="22" t="str">
        <x:v>FR</x:v>
      </x:c>
      <x:c r="D111" s="22" t="str">
        <x:v>Sync status</x:v>
      </x:c>
      <x:c r="E111" s="22" t="str">
        <x:v>Ghi run counters/error status.</x:v>
      </x:c>
      <x:c r="F111" s="22" t="str">
        <x:v>Kiên</x:v>
      </x:c>
      <x:c r="G111" s="22" t="str">
        <x:v>P0</x:v>
      </x:c>
      <x:c r="H111" s="22" t="str">
        <x:v>Not Verified</x:v>
      </x:c>
      <x:c r="I111" s="22" t="str"/>
    </x:row>
    <x:row r="112" ht="29" customHeight="1">
      <x:c r="A112" s="32" t="str">
        <x:v>T03-FR03</x:v>
      </x:c>
      <x:c r="B112" s="32" t="str">
        <x:v>T03</x:v>
      </x:c>
      <x:c r="C112" s="32" t="str">
        <x:v>FR</x:v>
      </x:c>
      <x:c r="D112" s="32" t="str">
        <x:v>Reputation effect</x:v>
      </x:c>
      <x:c r="E112" s="32" t="str">
        <x:v>ThreatQuery sau sync trả dữ liệu mới.</x:v>
      </x:c>
      <x:c r="F112" s="32" t="str">
        <x:v>Kiên</x:v>
      </x:c>
      <x:c r="G112" s="32" t="str">
        <x:v>P0</x:v>
      </x:c>
      <x:c r="H112" s="32" t="str">
        <x:v>Not Verified</x:v>
      </x:c>
      <x:c r="I112" s="32" t="str"/>
    </x:row>
    <x:row r="113" ht="29" customHeight="1">
      <x:c r="A113" s="22" t="str">
        <x:v>T03-NFR01</x:v>
      </x:c>
      <x:c r="B113" s="22" t="str">
        <x:v>T03</x:v>
      </x:c>
      <x:c r="C113" s="22" t="str">
        <x:v>NFR</x:v>
      </x:c>
      <x:c r="D113" s="22" t="str">
        <x:v>Reliability</x:v>
      </x:c>
      <x:c r="E113" s="22" t="str">
        <x:v>Same feed twice không tạo duplicate observation.</x:v>
      </x:c>
      <x:c r="F113" s="22" t="str">
        <x:v>Kiên</x:v>
      </x:c>
      <x:c r="G113" s="22" t="str">
        <x:v>P0</x:v>
      </x:c>
      <x:c r="H113" s="22" t="str">
        <x:v>Not Verified</x:v>
      </x:c>
      <x:c r="I113" s="22" t="str"/>
    </x:row>
    <x:row r="114" ht="29" customHeight="1">
      <x:c r="A114" s="32" t="str">
        <x:v>T03-NFR02</x:v>
      </x:c>
      <x:c r="B114" s="32" t="str">
        <x:v>T03</x:v>
      </x:c>
      <x:c r="C114" s="32" t="str">
        <x:v>NFR</x:v>
      </x:c>
      <x:c r="D114" s="32" t="str">
        <x:v>Security</x:v>
      </x:c>
      <x:c r="E114" s="32" t="str">
        <x:v>Không chấp nhận nguồn không đáng tin/unsafe payload.</x:v>
      </x:c>
      <x:c r="F114" s="32" t="str">
        <x:v>Kiên</x:v>
      </x:c>
      <x:c r="G114" s="32" t="str">
        <x:v>P0</x:v>
      </x:c>
      <x:c r="H114" s="32" t="str">
        <x:v>Not Verified</x:v>
      </x:c>
      <x:c r="I114" s="32" t="str"/>
    </x:row>
    <x:row r="115" ht="29" customHeight="1">
      <x:c r="A115" s="22" t="str">
        <x:v>T04-FR01</x:v>
      </x:c>
      <x:c r="B115" s="22" t="str">
        <x:v>T04</x:v>
      </x:c>
      <x:c r="C115" s="22" t="str">
        <x:v>FR</x:v>
      </x:c>
      <x:c r="D115" s="22" t="str">
        <x:v>Rule list</x:v>
      </x:c>
      <x:c r="E115" s="22" t="str">
        <x:v>Đọc versioned repository chính xác.</x:v>
      </x:c>
      <x:c r="F115" s="22" t="str">
        <x:v>Thắng</x:v>
      </x:c>
      <x:c r="G115" s="22" t="str">
        <x:v>P1</x:v>
      </x:c>
      <x:c r="H115" s="22" t="str">
        <x:v>Not Verified</x:v>
      </x:c>
      <x:c r="I115" s="22" t="str"/>
    </x:row>
    <x:row r="116" ht="29" customHeight="1">
      <x:c r="A116" s="32" t="str">
        <x:v>T04-FR02</x:v>
      </x:c>
      <x:c r="B116" s="32" t="str">
        <x:v>T04</x:v>
      </x:c>
      <x:c r="C116" s="32" t="str">
        <x:v>FR</x:v>
      </x:c>
      <x:c r="D116" s="32" t="str">
        <x:v>UI</x:v>
      </x:c>
      <x:c r="E116" s="32" t="str">
        <x:v>Có list/detail, trạng thái active/disabled.</x:v>
      </x:c>
      <x:c r="F116" s="32" t="str">
        <x:v>Thắng</x:v>
      </x:c>
      <x:c r="G116" s="32" t="str">
        <x:v>P1</x:v>
      </x:c>
      <x:c r="H116" s="32" t="str">
        <x:v>Not Verified</x:v>
      </x:c>
      <x:c r="I116" s="32" t="str"/>
    </x:row>
    <x:row r="117" ht="29" customHeight="1">
      <x:c r="A117" s="22" t="str">
        <x:v>T04-NFR01</x:v>
      </x:c>
      <x:c r="B117" s="22" t="str">
        <x:v>T04</x:v>
      </x:c>
      <x:c r="C117" s="22" t="str">
        <x:v>NFR</x:v>
      </x:c>
      <x:c r="D117" s="22" t="str">
        <x:v>RBAC</x:v>
      </x:c>
      <x:c r="E117" s="22" t="str">
        <x:v>Chặn user non-admin.</x:v>
      </x:c>
      <x:c r="F117" s="22" t="str">
        <x:v>Thắng</x:v>
      </x:c>
      <x:c r="G117" s="22" t="str">
        <x:v>P1</x:v>
      </x:c>
      <x:c r="H117" s="22" t="str">
        <x:v>Not Verified</x:v>
      </x:c>
      <x:c r="I117" s="22" t="str"/>
    </x:row>
    <x:row r="118" ht="29" customHeight="1">
      <x:c r="A118" s="32" t="str">
        <x:v>T04-NFR02</x:v>
      </x:c>
      <x:c r="B118" s="32" t="str">
        <x:v>T04</x:v>
      </x:c>
      <x:c r="C118" s="32" t="str">
        <x:v>NFR</x:v>
      </x:c>
      <x:c r="D118" s="32" t="str">
        <x:v>Integrity</x:v>
      </x:c>
      <x:c r="E118" s="32" t="str">
        <x:v>Hiển thị rõ published vs draft.</x:v>
      </x:c>
      <x:c r="F118" s="32" t="str">
        <x:v>Thắng</x:v>
      </x:c>
      <x:c r="G118" s="32" t="str">
        <x:v>P1</x:v>
      </x:c>
      <x:c r="H118" s="32" t="str">
        <x:v>Not Verified</x:v>
      </x:c>
      <x:c r="I118" s="32" t="str"/>
    </x:row>
    <x:row r="119" ht="29" customHeight="1">
      <x:c r="A119" s="22" t="str">
        <x:v>T05-FR01</x:v>
      </x:c>
      <x:c r="B119" s="22" t="str">
        <x:v>T05</x:v>
      </x:c>
      <x:c r="C119" s="22" t="str">
        <x:v>FR</x:v>
      </x:c>
      <x:c r="D119" s="22" t="str">
        <x:v>Version create</x:v>
      </x:c>
      <x:c r="E119" s="22" t="str">
        <x:v>version_no tăng, không mutate active version.</x:v>
      </x:c>
      <x:c r="F119" s="22" t="str">
        <x:v>Kiên</x:v>
      </x:c>
      <x:c r="G119" s="22" t="str">
        <x:v>P1</x:v>
      </x:c>
      <x:c r="H119" s="22" t="str">
        <x:v>Not Verified</x:v>
      </x:c>
      <x:c r="I119" s="22" t="str"/>
    </x:row>
    <x:row r="120" ht="29" customHeight="1">
      <x:c r="A120" s="32" t="str">
        <x:v>T05-FR02</x:v>
      </x:c>
      <x:c r="B120" s="32" t="str">
        <x:v>T05</x:v>
      </x:c>
      <x:c r="C120" s="32" t="str">
        <x:v>FR</x:v>
      </x:c>
      <x:c r="D120" s="32" t="str">
        <x:v>Validation</x:v>
      </x:c>
      <x:c r="E120" s="32" t="str">
        <x:v>Từ chối condition JSON không hợp lệ.</x:v>
      </x:c>
      <x:c r="F120" s="32" t="str">
        <x:v>Kiên</x:v>
      </x:c>
      <x:c r="G120" s="32" t="str">
        <x:v>P1</x:v>
      </x:c>
      <x:c r="H120" s="32" t="str">
        <x:v>Not Verified</x:v>
      </x:c>
      <x:c r="I120" s="32" t="str"/>
    </x:row>
    <x:row r="121" ht="29" customHeight="1">
      <x:c r="A121" s="22" t="str">
        <x:v>T05-NFR01</x:v>
      </x:c>
      <x:c r="B121" s="22" t="str">
        <x:v>T05</x:v>
      </x:c>
      <x:c r="C121" s="22" t="str">
        <x:v>NFR</x:v>
      </x:c>
      <x:c r="D121" s="22" t="str">
        <x:v>Audit</x:v>
      </x:c>
      <x:c r="E121" s="22" t="str">
        <x:v>Ghi actor/change summary.</x:v>
      </x:c>
      <x:c r="F121" s="22" t="str">
        <x:v>Kiên</x:v>
      </x:c>
      <x:c r="G121" s="22" t="str">
        <x:v>P1</x:v>
      </x:c>
      <x:c r="H121" s="22" t="str">
        <x:v>Not Verified</x:v>
      </x:c>
      <x:c r="I121" s="22" t="str"/>
    </x:row>
    <x:row r="122" ht="29" customHeight="1">
      <x:c r="A122" s="32" t="str">
        <x:v>T05-NFR02</x:v>
      </x:c>
      <x:c r="B122" s="32" t="str">
        <x:v>T05</x:v>
      </x:c>
      <x:c r="C122" s="32" t="str">
        <x:v>NFR</x:v>
      </x:c>
      <x:c r="D122" s="32" t="str">
        <x:v>Consistency</x:v>
      </x:c>
      <x:c r="E122" s="32" t="str">
        <x:v>Unique (rule_id,version_no), optimistic concurrency.</x:v>
      </x:c>
      <x:c r="F122" s="32" t="str">
        <x:v>Kiên</x:v>
      </x:c>
      <x:c r="G122" s="32" t="str">
        <x:v>P1</x:v>
      </x:c>
      <x:c r="H122" s="32" t="str">
        <x:v>Not Verified</x:v>
      </x:c>
      <x:c r="I122" s="32" t="str"/>
    </x:row>
    <x:row r="123" ht="29" customHeight="1">
      <x:c r="A123" s="22" t="str">
        <x:v>T06-FR01</x:v>
      </x:c>
      <x:c r="B123" s="22" t="str">
        <x:v>T06</x:v>
      </x:c>
      <x:c r="C123" s="22" t="str">
        <x:v>FR</x:v>
      </x:c>
      <x:c r="D123" s="22" t="str">
        <x:v>Activate</x:v>
      </x:c>
      <x:c r="E123" s="22" t="str">
        <x:v>Chỉ active version phù hợp rule/policy; ghi audit.</x:v>
      </x:c>
      <x:c r="F123" s="22" t="str">
        <x:v>Kiên</x:v>
      </x:c>
      <x:c r="G123" s="22" t="str">
        <x:v>P1</x:v>
      </x:c>
      <x:c r="H123" s="22" t="str">
        <x:v>Not Verified</x:v>
      </x:c>
      <x:c r="I123" s="22" t="str"/>
    </x:row>
    <x:row r="124" ht="29" customHeight="1">
      <x:c r="A124" s="32" t="str">
        <x:v>T06-FR02</x:v>
      </x:c>
      <x:c r="B124" s="32" t="str">
        <x:v>T06</x:v>
      </x:c>
      <x:c r="C124" s="32" t="str">
        <x:v>FR</x:v>
      </x:c>
      <x:c r="D124" s="32" t="str">
        <x:v>Runtime effect</x:v>
      </x:c>
      <x:c r="E124" s="32" t="str">
        <x:v>Rule loader và cache cập nhật, scan sau dùng version được activate.</x:v>
      </x:c>
      <x:c r="F124" s="32" t="str">
        <x:v>Kiên</x:v>
      </x:c>
      <x:c r="G124" s="32" t="str">
        <x:v>P1</x:v>
      </x:c>
      <x:c r="H124" s="32" t="str">
        <x:v>Not Verified</x:v>
      </x:c>
      <x:c r="I124" s="32" t="str"/>
    </x:row>
    <x:row r="125" ht="29" customHeight="1">
      <x:c r="A125" s="22" t="str">
        <x:v>T06-NFR01</x:v>
      </x:c>
      <x:c r="B125" s="22" t="str">
        <x:v>T06</x:v>
      </x:c>
      <x:c r="C125" s="22" t="str">
        <x:v>NFR</x:v>
      </x:c>
      <x:c r="D125" s="22" t="str">
        <x:v>Consistency</x:v>
      </x:c>
      <x:c r="E125" s="22" t="str">
        <x:v>Không active version của rule khác.</x:v>
      </x:c>
      <x:c r="F125" s="22" t="str">
        <x:v>Kiên</x:v>
      </x:c>
      <x:c r="G125" s="22" t="str">
        <x:v>P1</x:v>
      </x:c>
      <x:c r="H125" s="22" t="str">
        <x:v>Not Verified</x:v>
      </x:c>
      <x:c r="I125" s="22" t="str"/>
    </x:row>
    <x:row r="126" ht="29" customHeight="1">
      <x:c r="A126" s="32" t="str">
        <x:v>T06-NFR02</x:v>
      </x:c>
      <x:c r="B126" s="32" t="str">
        <x:v>T06</x:v>
      </x:c>
      <x:c r="C126" s="32" t="str">
        <x:v>NFR</x:v>
      </x:c>
      <x:c r="D126" s="32" t="str">
        <x:v>Recovery</x:v>
      </x:c>
      <x:c r="E126" s="32" t="str">
        <x:v>Có đường rollback/re-activate version trước theo policy.</x:v>
      </x:c>
      <x:c r="F126" s="32" t="str">
        <x:v>Kiên</x:v>
      </x:c>
      <x:c r="G126" s="32" t="str">
        <x:v>P1</x:v>
      </x:c>
      <x:c r="H126" s="32" t="str">
        <x:v>Not Verified</x:v>
      </x:c>
      <x:c r="I126" s="32" t="str"/>
    </x:row>
    <x:row r="127" ht="29" customHeight="1">
      <x:c r="A127" s="22" t="str">
        <x:v>N01-FR01</x:v>
      </x:c>
      <x:c r="B127" s="22" t="str">
        <x:v>N01</x:v>
      </x:c>
      <x:c r="C127" s="22" t="str">
        <x:v>FR</x:v>
      </x:c>
      <x:c r="D127" s="22" t="str">
        <x:v>Event handling</x:v>
      </x:c>
      <x:c r="E127" s="22" t="str">
        <x:v>Event route tới template/channel phù hợp.</x:v>
      </x:c>
      <x:c r="F127" s="22" t="str">
        <x:v>Khải</x:v>
      </x:c>
      <x:c r="G127" s="22" t="str">
        <x:v>P0</x:v>
      </x:c>
      <x:c r="H127" s="22" t="str">
        <x:v>Not Verified</x:v>
      </x:c>
      <x:c r="I127" s="22" t="str"/>
    </x:row>
    <x:row r="128" ht="29" customHeight="1">
      <x:c r="A128" s="32" t="str">
        <x:v>N01-FR02</x:v>
      </x:c>
      <x:c r="B128" s="32" t="str">
        <x:v>N01</x:v>
      </x:c>
      <x:c r="C128" s="32" t="str">
        <x:v>FR</x:v>
      </x:c>
      <x:c r="D128" s="32" t="str">
        <x:v>Delivery</x:v>
      </x:c>
      <x:c r="E128" s="32" t="str">
        <x:v>Ít nhất một kênh thực/sandbox có thể chứng minh nhận thông báo.</x:v>
      </x:c>
      <x:c r="F128" s="32" t="str">
        <x:v>Khải</x:v>
      </x:c>
      <x:c r="G128" s="32" t="str">
        <x:v>P0</x:v>
      </x:c>
      <x:c r="H128" s="32" t="str">
        <x:v>Not Verified</x:v>
      </x:c>
      <x:c r="I128" s="32" t="str"/>
    </x:row>
    <x:row r="129" ht="29" customHeight="1">
      <x:c r="A129" s="22" t="str">
        <x:v>N01-FR03</x:v>
      </x:c>
      <x:c r="B129" s="22" t="str">
        <x:v>N01</x:v>
      </x:c>
      <x:c r="C129" s="22" t="str">
        <x:v>FR</x:v>
      </x:c>
      <x:c r="D129" s="22" t="str">
        <x:v>Failure</x:v>
      </x:c>
      <x:c r="E129" s="22" t="str">
        <x:v>Không làm thay đổi business truth nếu delivery failed.</x:v>
      </x:c>
      <x:c r="F129" s="22" t="str">
        <x:v>Khải</x:v>
      </x:c>
      <x:c r="G129" s="22" t="str">
        <x:v>P0</x:v>
      </x:c>
      <x:c r="H129" s="22" t="str">
        <x:v>Not Verified</x:v>
      </x:c>
      <x:c r="I129" s="22" t="str"/>
    </x:row>
    <x:row r="130" ht="29" customHeight="1">
      <x:c r="A130" s="32" t="str">
        <x:v>N01-NFR01</x:v>
      </x:c>
      <x:c r="B130" s="32" t="str">
        <x:v>N01</x:v>
      </x:c>
      <x:c r="C130" s="32" t="str">
        <x:v>NFR</x:v>
      </x:c>
      <x:c r="D130" s="32" t="str">
        <x:v>PII</x:v>
      </x:c>
      <x:c r="E130" s="32" t="str">
        <x:v>Không log OTP/secret trong notification logs.</x:v>
      </x:c>
      <x:c r="F130" s="32" t="str">
        <x:v>Khải</x:v>
      </x:c>
      <x:c r="G130" s="32" t="str">
        <x:v>P0</x:v>
      </x:c>
      <x:c r="H130" s="32" t="str">
        <x:v>Not Verified</x:v>
      </x:c>
      <x:c r="I130" s="32" t="str"/>
    </x:row>
    <x:row r="131" ht="29" customHeight="1">
      <x:c r="A131" s="22" t="str">
        <x:v>N01-NFR02</x:v>
      </x:c>
      <x:c r="B131" s="22" t="str">
        <x:v>N01</x:v>
      </x:c>
      <x:c r="C131" s="22" t="str">
        <x:v>NFR</x:v>
      </x:c>
      <x:c r="D131" s="22" t="str">
        <x:v>Reliability</x:v>
      </x:c>
      <x:c r="E131" s="22" t="str">
        <x:v>Delivery retry/idempotency theo policy.</x:v>
      </x:c>
      <x:c r="F131" s="22" t="str">
        <x:v>Khải</x:v>
      </x:c>
      <x:c r="G131" s="22" t="str">
        <x:v>P0</x:v>
      </x:c>
      <x:c r="H131" s="22" t="str">
        <x:v>Not Verified</x:v>
      </x:c>
      <x:c r="I131" s="22" t="str"/>
    </x:row>
    <x:row r="132" ht="29" customHeight="1">
      <x:c r="A132" s="32" t="str">
        <x:v>N02-FR01</x:v>
      </x:c>
      <x:c r="B132" s="32" t="str">
        <x:v>N02</x:v>
      </x:c>
      <x:c r="C132" s="32" t="str">
        <x:v>FR</x:v>
      </x:c>
      <x:c r="D132" s="32" t="str">
        <x:v>List</x:v>
      </x:c>
      <x:c r="E132" s="32" t="str">
        <x:v>List notifications cho current owner.</x:v>
      </x:c>
      <x:c r="F132" s="32" t="str">
        <x:v>Thắng</x:v>
      </x:c>
      <x:c r="G132" s="32" t="str">
        <x:v>P1</x:v>
      </x:c>
      <x:c r="H132" s="32" t="str">
        <x:v>Not Verified</x:v>
      </x:c>
      <x:c r="I132" s="32" t="str"/>
    </x:row>
    <x:row r="133" ht="29" customHeight="1">
      <x:c r="A133" s="22" t="str">
        <x:v>N02-FR02</x:v>
      </x:c>
      <x:c r="B133" s="22" t="str">
        <x:v>N02</x:v>
      </x:c>
      <x:c r="C133" s="22" t="str">
        <x:v>FR</x:v>
      </x:c>
      <x:c r="D133" s="22" t="str">
        <x:v>Mark read</x:v>
      </x:c>
      <x:c r="E133" s="22" t="str">
        <x:v>Read state được persist và hiển thị.</x:v>
      </x:c>
      <x:c r="F133" s="22" t="str">
        <x:v>Thắng</x:v>
      </x:c>
      <x:c r="G133" s="22" t="str">
        <x:v>P1</x:v>
      </x:c>
      <x:c r="H133" s="22" t="str">
        <x:v>Not Verified</x:v>
      </x:c>
      <x:c r="I133" s="22" t="str"/>
    </x:row>
    <x:row r="134" ht="29" customHeight="1">
      <x:c r="A134" s="32" t="str">
        <x:v>N02-NFR01</x:v>
      </x:c>
      <x:c r="B134" s="32" t="str">
        <x:v>N02</x:v>
      </x:c>
      <x:c r="C134" s="32" t="str">
        <x:v>NFR</x:v>
      </x:c>
      <x:c r="D134" s="32" t="str">
        <x:v>IDOR</x:v>
      </x:c>
      <x:c r="E134" s="32" t="str">
        <x:v>Không đọc/sửa notification của người khác.</x:v>
      </x:c>
      <x:c r="F134" s="32" t="str">
        <x:v>Thắng</x:v>
      </x:c>
      <x:c r="G134" s="32" t="str">
        <x:v>P1</x:v>
      </x:c>
      <x:c r="H134" s="32" t="str">
        <x:v>Not Verified</x:v>
      </x:c>
      <x:c r="I134" s="32" t="str"/>
    </x:row>
    <x:row r="135" ht="29" customHeight="1">
      <x:c r="A135" s="22" t="str">
        <x:v>N02-NFR02</x:v>
      </x:c>
      <x:c r="B135" s="22" t="str">
        <x:v>N02</x:v>
      </x:c>
      <x:c r="C135" s="22" t="str">
        <x:v>NFR</x:v>
      </x:c>
      <x:c r="D135" s="22" t="str">
        <x:v>Performance</x:v>
      </x:c>
      <x:c r="E135" s="22" t="str">
        <x:v>Pagination/bounds cho danh sách dài.</x:v>
      </x:c>
      <x:c r="F135" s="22" t="str">
        <x:v>Thắng</x:v>
      </x:c>
      <x:c r="G135" s="22" t="str">
        <x:v>P1</x:v>
      </x:c>
      <x:c r="H135" s="22" t="str">
        <x:v>Not Verified</x:v>
      </x:c>
      <x:c r="I135" s="22" t="str"/>
    </x:row>
    <x:row r="136" ht="29" customHeight="1">
      <x:c r="A136" s="32" t="str">
        <x:v>N03-FR01</x:v>
      </x:c>
      <x:c r="B136" s="32" t="str">
        <x:v>N03</x:v>
      </x:c>
      <x:c r="C136" s="32" t="str">
        <x:v>FR</x:v>
      </x:c>
      <x:c r="D136" s="32" t="str">
        <x:v>Preferences</x:v>
      </x:c>
      <x:c r="E136" s="32" t="str">
        <x:v>Chỉ cho phép channel/event options hợp lệ.</x:v>
      </x:c>
      <x:c r="F136" s="32" t="str">
        <x:v>Thắng</x:v>
      </x:c>
      <x:c r="G136" s="32" t="str">
        <x:v>P2</x:v>
      </x:c>
      <x:c r="H136" s="32" t="str">
        <x:v>Not Verified</x:v>
      </x:c>
      <x:c r="I136" s="32" t="str"/>
    </x:row>
    <x:row r="137" ht="29" customHeight="1">
      <x:c r="A137" s="22" t="str">
        <x:v>N03-FR02</x:v>
      </x:c>
      <x:c r="B137" s="22" t="str">
        <x:v>N03</x:v>
      </x:c>
      <x:c r="C137" s="22" t="str">
        <x:v>FR</x:v>
      </x:c>
      <x:c r="D137" s="22" t="str">
        <x:v>Effect</x:v>
      </x:c>
      <x:c r="E137" s="22" t="str">
        <x:v>Notification event sau đó dùng preferences mới.</x:v>
      </x:c>
      <x:c r="F137" s="22" t="str">
        <x:v>Thắng</x:v>
      </x:c>
      <x:c r="G137" s="22" t="str">
        <x:v>P2</x:v>
      </x:c>
      <x:c r="H137" s="22" t="str">
        <x:v>Not Verified</x:v>
      </x:c>
      <x:c r="I137" s="22" t="str"/>
    </x:row>
    <x:row r="138" ht="29" customHeight="1">
      <x:c r="A138" s="32" t="str">
        <x:v>N03-NFR01</x:v>
      </x:c>
      <x:c r="B138" s="32" t="str">
        <x:v>N03</x:v>
      </x:c>
      <x:c r="C138" s="32" t="str">
        <x:v>NFR</x:v>
      </x:c>
      <x:c r="D138" s="32" t="str">
        <x:v>Security</x:v>
      </x:c>
      <x:c r="E138" s="32" t="str">
        <x:v>Người khác không sửa settings của user.</x:v>
      </x:c>
      <x:c r="F138" s="32" t="str">
        <x:v>Thắng</x:v>
      </x:c>
      <x:c r="G138" s="32" t="str">
        <x:v>P2</x:v>
      </x:c>
      <x:c r="H138" s="32" t="str">
        <x:v>Not Verified</x:v>
      </x:c>
      <x:c r="I138" s="32" t="str"/>
    </x:row>
    <x:row r="139" ht="29" customHeight="1">
      <x:c r="A139" s="22" t="str">
        <x:v>N03-NFR02</x:v>
      </x:c>
      <x:c r="B139" s="22" t="str">
        <x:v>N03</x:v>
      </x:c>
      <x:c r="C139" s="22" t="str">
        <x:v>NFR</x:v>
      </x:c>
      <x:c r="D139" s="22" t="str">
        <x:v>Consent</x:v>
      </x:c>
      <x:c r="E139" s="22" t="str">
        <x:v>Tôn trọng unsubscribe và bắt buộc OTP security channel nếu policy.</x:v>
      </x:c>
      <x:c r="F139" s="22" t="str">
        <x:v>Thắng</x:v>
      </x:c>
      <x:c r="G139" s="22" t="str">
        <x:v>P2</x:v>
      </x:c>
      <x:c r="H139" s="22" t="str">
        <x:v>Not Verified</x:v>
      </x:c>
      <x:c r="I139" s="22" t="str"/>
    </x:row>
    <x:row r="140" ht="29" customHeight="1">
      <x:c r="A140" s="32" t="str">
        <x:v>O01-FR01</x:v>
      </x:c>
      <x:c r="B140" s="32" t="str">
        <x:v>O01</x:v>
      </x:c>
      <x:c r="C140" s="32" t="str">
        <x:v>FR</x:v>
      </x:c>
      <x:c r="D140" s="32" t="str">
        <x:v>Audit emit</x:v>
      </x:c>
      <x:c r="E140" s="32" t="str">
        <x:v>Các thay đổi nhạy cảm phát audit event.</x:v>
      </x:c>
      <x:c r="F140" s="32" t="str">
        <x:v>Khải</x:v>
      </x:c>
      <x:c r="G140" s="32" t="str">
        <x:v>P0</x:v>
      </x:c>
      <x:c r="H140" s="32" t="str">
        <x:v>Not Verified</x:v>
      </x:c>
      <x:c r="I140" s="32" t="str"/>
    </x:row>
    <x:row r="141" ht="29" customHeight="1">
      <x:c r="A141" s="22" t="str">
        <x:v>O01-FR02</x:v>
      </x:c>
      <x:c r="B141" s="22" t="str">
        <x:v>O01</x:v>
      </x:c>
      <x:c r="C141" s="22" t="str">
        <x:v>FR</x:v>
      </x:c>
      <x:c r="D141" s="22" t="str">
        <x:v>Query</x:v>
      </x:c>
      <x:c r="E141" s="22" t="str">
        <x:v>Lọc và phân trang audit records.</x:v>
      </x:c>
      <x:c r="F141" s="22" t="str">
        <x:v>Khải</x:v>
      </x:c>
      <x:c r="G141" s="22" t="str">
        <x:v>P0</x:v>
      </x:c>
      <x:c r="H141" s="22" t="str">
        <x:v>Not Verified</x:v>
      </x:c>
      <x:c r="I141" s="22" t="str"/>
    </x:row>
    <x:row r="142" ht="29" customHeight="1">
      <x:c r="A142" s="32" t="str">
        <x:v>O01-FR03</x:v>
      </x:c>
      <x:c r="B142" s="32" t="str">
        <x:v>O01</x:v>
      </x:c>
      <x:c r="C142" s="32" t="str">
        <x:v>FR</x:v>
      </x:c>
      <x:c r="D142" s="32" t="str">
        <x:v>Admin UI</x:v>
      </x:c>
      <x:c r="E142" s="32" t="str">
        <x:v>Xem event và correlation metadata.</x:v>
      </x:c>
      <x:c r="F142" s="32" t="str">
        <x:v>Khải</x:v>
      </x:c>
      <x:c r="G142" s="32" t="str">
        <x:v>P0</x:v>
      </x:c>
      <x:c r="H142" s="32" t="str">
        <x:v>Not Verified</x:v>
      </x:c>
      <x:c r="I142" s="32" t="str"/>
    </x:row>
    <x:row r="143" ht="29" customHeight="1">
      <x:c r="A143" s="22" t="str">
        <x:v>O01-NFR01</x:v>
      </x:c>
      <x:c r="B143" s="22" t="str">
        <x:v>O01</x:v>
      </x:c>
      <x:c r="C143" s="22" t="str">
        <x:v>NFR</x:v>
      </x:c>
      <x:c r="D143" s="22" t="str">
        <x:v>Redaction</x:v>
      </x:c>
      <x:c r="E143" s="22" t="str">
        <x:v>Không lộ token/password/OTP trong audit.</x:v>
      </x:c>
      <x:c r="F143" s="22" t="str">
        <x:v>Khải</x:v>
      </x:c>
      <x:c r="G143" s="22" t="str">
        <x:v>P0</x:v>
      </x:c>
      <x:c r="H143" s="22" t="str">
        <x:v>Not Verified</x:v>
      </x:c>
      <x:c r="I143" s="22" t="str"/>
    </x:row>
    <x:row r="144" ht="29" customHeight="1">
      <x:c r="A144" s="32" t="str">
        <x:v>O01-NFR02</x:v>
      </x:c>
      <x:c r="B144" s="32" t="str">
        <x:v>O01</x:v>
      </x:c>
      <x:c r="C144" s="32" t="str">
        <x:v>NFR</x:v>
      </x:c>
      <x:c r="D144" s="32" t="str">
        <x:v>Access</x:v>
      </x:c>
      <x:c r="E144" s="32" t="str">
        <x:v>Chỉ role được cấp quyền xem.</x:v>
      </x:c>
      <x:c r="F144" s="32" t="str">
        <x:v>Khải</x:v>
      </x:c>
      <x:c r="G144" s="32" t="str">
        <x:v>P0</x:v>
      </x:c>
      <x:c r="H144" s="32" t="str">
        <x:v>Not Verified</x:v>
      </x:c>
      <x:c r="I144" s="32" t="str"/>
    </x:row>
    <x:row r="145" ht="29" customHeight="1">
      <x:c r="A145" s="22" t="str">
        <x:v>O02-FR01</x:v>
      </x:c>
      <x:c r="B145" s="22" t="str">
        <x:v>O02</x:v>
      </x:c>
      <x:c r="C145" s="22" t="str">
        <x:v>FR</x:v>
      </x:c>
      <x:c r="D145" s="22" t="str">
        <x:v>Search</x:v>
      </x:c>
      <x:c r="E145" s="22" t="str">
        <x:v>Tra theo scanId/correlationId.</x:v>
      </x:c>
      <x:c r="F145" s="22" t="str">
        <x:v>Khải</x:v>
      </x:c>
      <x:c r="G145" s="22" t="str">
        <x:v>P1</x:v>
      </x:c>
      <x:c r="H145" s="22" t="str">
        <x:v>Not Verified</x:v>
      </x:c>
      <x:c r="I145" s="22" t="str"/>
    </x:row>
    <x:row r="146" ht="29" customHeight="1">
      <x:c r="A146" s="32" t="str">
        <x:v>O02-FR02</x:v>
      </x:c>
      <x:c r="B146" s="32" t="str">
        <x:v>O02</x:v>
      </x:c>
      <x:c r="C146" s="32" t="str">
        <x:v>FR</x:v>
      </x:c>
      <x:c r="D146" s="32" t="str">
        <x:v>Timeline</x:v>
      </x:c>
      <x:c r="E146" s="32" t="str">
        <x:v>Xem API/event/worker transitions và retry/DLQ state.</x:v>
      </x:c>
      <x:c r="F146" s="32" t="str">
        <x:v>Khải</x:v>
      </x:c>
      <x:c r="G146" s="32" t="str">
        <x:v>P1</x:v>
      </x:c>
      <x:c r="H146" s="32" t="str">
        <x:v>Not Verified</x:v>
      </x:c>
      <x:c r="I146" s="32" t="str"/>
    </x:row>
    <x:row r="147" ht="29" customHeight="1">
      <x:c r="A147" s="22" t="str">
        <x:v>O02-FR03</x:v>
      </x:c>
      <x:c r="B147" s="22" t="str">
        <x:v>O02</x:v>
      </x:c>
      <x:c r="C147" s="22" t="str">
        <x:v>FR</x:v>
      </x:c>
      <x:c r="D147" s="22" t="str">
        <x:v>Access</x:v>
      </x:c>
      <x:c r="E147" s="22" t="str">
        <x:v>Operator-only view.</x:v>
      </x:c>
      <x:c r="F147" s="22" t="str">
        <x:v>Khải</x:v>
      </x:c>
      <x:c r="G147" s="22" t="str">
        <x:v>P1</x:v>
      </x:c>
      <x:c r="H147" s="22" t="str">
        <x:v>Not Verified</x:v>
      </x:c>
      <x:c r="I147" s="22" t="str"/>
    </x:row>
    <x:row r="148" ht="29" customHeight="1">
      <x:c r="A148" s="32" t="str">
        <x:v>O02-NFR01</x:v>
      </x:c>
      <x:c r="B148" s="32" t="str">
        <x:v>O02</x:v>
      </x:c>
      <x:c r="C148" s="32" t="str">
        <x:v>NFR</x:v>
      </x:c>
      <x:c r="D148" s="32" t="str">
        <x:v>Traceability</x:v>
      </x:c>
      <x:c r="E148" s="32" t="str">
        <x:v>Correlation consistent across API/queue/worker.</x:v>
      </x:c>
      <x:c r="F148" s="32" t="str">
        <x:v>Khải</x:v>
      </x:c>
      <x:c r="G148" s="32" t="str">
        <x:v>P1</x:v>
      </x:c>
      <x:c r="H148" s="32" t="str">
        <x:v>Not Verified</x:v>
      </x:c>
      <x:c r="I148" s="32" t="str"/>
    </x:row>
    <x:row r="149" ht="29" customHeight="1">
      <x:c r="A149" s="22" t="str">
        <x:v>O02-NFR02</x:v>
      </x:c>
      <x:c r="B149" s="22" t="str">
        <x:v>O02</x:v>
      </x:c>
      <x:c r="C149" s="22" t="str">
        <x:v>NFR</x:v>
      </x:c>
      <x:c r="D149" s="22" t="str">
        <x:v>Privacy</x:v>
      </x:c>
      <x:c r="E149" s="22" t="str">
        <x:v>Redact input PII/tokens/secrets.</x:v>
      </x:c>
      <x:c r="F149" s="22" t="str">
        <x:v>Khải</x:v>
      </x:c>
      <x:c r="G149" s="22" t="str">
        <x:v>P1</x:v>
      </x:c>
      <x:c r="H149" s="22" t="str">
        <x:v>Not Verified</x:v>
      </x:c>
      <x:c r="I149" s="22" t="str"/>
    </x:row>
  </x:sheetData>
  <x:mergeCells>
    <x:mergeCell ref="A1:I1"/>
    <x:mergeCell ref="A2:I2"/>
  </x:mergeCells>
  <x:conditionalFormatting sqref="H5:H149">
    <x:cfRule type="expression" dxfId="104" priority="1">
      <x:formula>H5="Done"</x:formula>
    </x:cfRule>
    <x:cfRule type="expression" dxfId="105" priority="2">
      <x:formula>H5="PASS"</x:formula>
    </x:cfRule>
    <x:cfRule type="expression" dxfId="106" priority="3">
      <x:formula>H5="G5"</x:formula>
    </x:cfRule>
    <x:cfRule type="expression" dxfId="107" priority="4">
      <x:formula>H5="Blocked"</x:formula>
    </x:cfRule>
    <x:cfRule type="expression" dxfId="108" priority="5">
      <x:formula>H5="FAIL"</x:formula>
    </x:cfRule>
    <x:cfRule type="expression" dxfId="109" priority="6">
      <x:formula>H5="Not Started"</x:formula>
    </x:cfRule>
    <x:cfRule type="expression" dxfId="110" priority="7">
      <x:formula>H5="In Progress"</x:formula>
    </x:cfRule>
    <x:cfRule type="expression" dxfId="111" priority="8">
      <x:formula>H5="Doing"</x:formula>
    </x:cfRule>
  </x:conditionalFormatting>
  <x:dataValidations count="1">
    <x:dataValidation type="list" sqref="H5:H149">
      <x:formula1>"Not Verified,In Progress,PASS,FAIL,Blocked"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21" hidden="0" customWidth="1"/>
    <x:col min="4" max="4" width="53" hidden="0" customWidth="1"/>
    <x:col min="5" max="5" width="56" hidden="0" customWidth="1"/>
    <x:col min="6" max="6" width="14" hidden="0" customWidth="1"/>
    <x:col min="7" max="7" width="16" hidden="0" customWidth="1"/>
    <x:col min="8" max="8" width="13" hidden="0" customWidth="1"/>
    <x:col min="9" max="9" width="38" hidden="0" customWidth="1"/>
    <x:col min="10" max="10" width="29" hidden="0" customWidth="1"/>
    <x:col min="11" max="11" width="18" hidden="0" customWidth="1"/>
  </x:cols>
  <x:sheetData>
    <x:row r="1" ht="35" customHeight="1">
      <x:c r="A1" s="4" t="str">
        <x:v>INDEPENDENT MANUAL CROSS-TEST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0" t="str">
        <x:v>Peer tester khác Flow Captain. Test trên staging; không chấp nhận video/demo từ author làm evidence duy nhất.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Test ID</x:v>
      </x:c>
      <x:c r="B4" s="17" t="str">
        <x:v>Flow ID</x:v>
      </x:c>
      <x:c r="C4" s="17" t="str">
        <x:v>Scenario</x:v>
      </x:c>
      <x:c r="D4" s="17" t="str">
        <x:v>Steps / Test fixture</x:v>
      </x:c>
      <x:c r="E4" s="17" t="str">
        <x:v>Expected result</x:v>
      </x:c>
      <x:c r="F4" s="17" t="str">
        <x:v>Peer tester</x:v>
      </x:c>
      <x:c r="G4" s="17" t="str">
        <x:v>Client scope</x:v>
      </x:c>
      <x:c r="H4" s="17" t="str">
        <x:v>Result</x:v>
      </x:c>
      <x:c r="I4" s="17" t="str">
        <x:v>Actual / Defect link</x:v>
      </x:c>
      <x:c r="J4" s="17" t="str">
        <x:v>Evidence URL</x:v>
      </x:c>
      <x:c r="K4" s="17" t="str">
        <x:v>Test date</x:v>
      </x:c>
    </x:row>
    <x:row r="5" ht="29" customHeight="1">
      <x:c r="A5" s="22" t="str">
        <x:v>A01-TC01</x:v>
      </x:c>
      <x:c r="B5" s="22" t="str">
        <x:v>A01</x:v>
      </x:c>
      <x:c r="C5" s="22" t="str">
        <x:v>Happy</x:v>
      </x:c>
      <x:c r="D5" s="22" t="str">
        <x:v>Đăng ký email mới, lấy OTP sandbox và xác minh</x:v>
      </x:c>
      <x:c r="E5" s="22" t="str">
        <x:v>Có account verified và đăng nhập được.</x:v>
      </x:c>
      <x:c r="F5" s="22" t="str">
        <x:v>Khải</x:v>
      </x:c>
      <x:c r="G5" s="22" t="str">
        <x:v>Web / Mobile</x:v>
      </x:c>
      <x:c r="H5" s="22" t="str">
        <x:v>Not Run</x:v>
      </x:c>
      <x:c r="I5" s="22" t="str"/>
      <x:c r="J5" s="22" t="str"/>
      <x:c r="K5" s="22" t="str"/>
    </x:row>
    <x:row r="6" ht="29" customHeight="1">
      <x:c r="A6" s="32" t="str">
        <x:v>A01-TC02</x:v>
      </x:c>
      <x:c r="B6" s="32" t="str">
        <x:v>A01</x:v>
      </x:c>
      <x:c r="C6" s="32" t="str">
        <x:v>Negative</x:v>
      </x:c>
      <x:c r="D6" s="32" t="str">
        <x:v>Nhập OTP sai, quá hạn hoặc email trùng</x:v>
      </x:c>
      <x:c r="E6" s="32" t="str">
        <x:v>Không tạo quyền truy cập ngoài policy, có thông báo phù hợp.</x:v>
      </x:c>
      <x:c r="F6" s="32" t="str">
        <x:v>Khải</x:v>
      </x:c>
      <x:c r="G6" s="32" t="str">
        <x:v>Web / Mobile</x:v>
      </x:c>
      <x:c r="H6" s="32" t="str">
        <x:v>Not Run</x:v>
      </x:c>
      <x:c r="I6" s="32" t="str"/>
      <x:c r="J6" s="32" t="str"/>
      <x:c r="K6" s="32" t="str"/>
    </x:row>
    <x:row r="7" ht="29" customHeight="1">
      <x:c r="A7" s="22" t="str">
        <x:v>A02-TC01</x:v>
      </x:c>
      <x:c r="B7" s="22" t="str">
        <x:v>A02</x:v>
      </x:c>
      <x:c r="C7" s="22" t="str">
        <x:v>Happy</x:v>
      </x:c>
      <x:c r="D7" s="22" t="str">
        <x:v>Đăng nhập seeded verified account</x:v>
      </x:c>
      <x:c r="E7" s="22" t="str">
        <x:v>Vào khu vực user và gọi API yêu cầu auth được.</x:v>
      </x:c>
      <x:c r="F7" s="22" t="str">
        <x:v>Khải</x:v>
      </x:c>
      <x:c r="G7" s="22" t="str">
        <x:v>Web / Mobile</x:v>
      </x:c>
      <x:c r="H7" s="22" t="str">
        <x:v>Not Run</x:v>
      </x:c>
      <x:c r="I7" s="22" t="str"/>
      <x:c r="J7" s="22" t="str"/>
      <x:c r="K7" s="22" t="str"/>
    </x:row>
    <x:row r="8" ht="29" customHeight="1">
      <x:c r="A8" s="32" t="str">
        <x:v>A02-TC02</x:v>
      </x:c>
      <x:c r="B8" s="32" t="str">
        <x:v>A02</x:v>
      </x:c>
      <x:c r="C8" s="32" t="str">
        <x:v>Negative</x:v>
      </x:c>
      <x:c r="D8" s="32" t="str">
        <x:v>Sai password nhiều lần</x:v>
      </x:c>
      <x:c r="E8" s="32" t="str">
        <x:v>Không có session; rate-limit/lockout theo policy.</x:v>
      </x:c>
      <x:c r="F8" s="32" t="str">
        <x:v>Khải</x:v>
      </x:c>
      <x:c r="G8" s="32" t="str">
        <x:v>Web / Mobile</x:v>
      </x:c>
      <x:c r="H8" s="32" t="str">
        <x:v>Not Run</x:v>
      </x:c>
      <x:c r="I8" s="32" t="str"/>
      <x:c r="J8" s="32" t="str"/>
      <x:c r="K8" s="32" t="str"/>
    </x:row>
    <x:row r="9" ht="29" customHeight="1">
      <x:c r="A9" s="22" t="str">
        <x:v>A03-TC01</x:v>
      </x:c>
      <x:c r="B9" s="22" t="str">
        <x:v>A03</x:v>
      </x:c>
      <x:c r="C9" s="22" t="str">
        <x:v>Happy</x:v>
      </x:c>
      <x:c r="D9" s="22" t="str">
        <x:v>Đăng nhập bằng test Google OIDC identity</x:v>
      </x:c>
      <x:c r="E9" s="22" t="str">
        <x:v>Session hợp lệ và profile tương ứng.</x:v>
      </x:c>
      <x:c r="F9" s="22" t="str">
        <x:v>Khải</x:v>
      </x:c>
      <x:c r="G9" s="22" t="str">
        <x:v>Web / Mobile</x:v>
      </x:c>
      <x:c r="H9" s="22" t="str">
        <x:v>Not Run</x:v>
      </x:c>
      <x:c r="I9" s="22" t="str"/>
      <x:c r="J9" s="22" t="str"/>
      <x:c r="K9" s="22" t="str"/>
    </x:row>
    <x:row r="10" ht="29" customHeight="1">
      <x:c r="A10" s="32" t="str">
        <x:v>A03-TC02</x:v>
      </x:c>
      <x:c r="B10" s="32" t="str">
        <x:v>A03</x:v>
      </x:c>
      <x:c r="C10" s="32" t="str">
        <x:v>Negative</x:v>
      </x:c>
      <x:c r="D10" s="32" t="str">
        <x:v>Dùng forged callback/email collision</x:v>
      </x:c>
      <x:c r="E10" s="32" t="str">
        <x:v>Không takeover hoặc link sai user.</x:v>
      </x:c>
      <x:c r="F10" s="32" t="str">
        <x:v>Khải</x:v>
      </x:c>
      <x:c r="G10" s="32" t="str">
        <x:v>Web / Mobile</x:v>
      </x:c>
      <x:c r="H10" s="32" t="str">
        <x:v>Not Run</x:v>
      </x:c>
      <x:c r="I10" s="32" t="str"/>
      <x:c r="J10" s="32" t="str"/>
      <x:c r="K10" s="32" t="str"/>
    </x:row>
    <x:row r="11" ht="29" customHeight="1">
      <x:c r="A11" s="22" t="str">
        <x:v>A04-TC01</x:v>
      </x:c>
      <x:c r="B11" s="22" t="str">
        <x:v>A04</x:v>
      </x:c>
      <x:c r="C11" s="22" t="str">
        <x:v>Happy</x:v>
      </x:c>
      <x:c r="D11" s="22" t="str">
        <x:v>Reset qua test inbox, login password mới</x:v>
      </x:c>
      <x:c r="E11" s="22" t="str">
        <x:v>Login mới thành công, mật khẩu cũ thất bại.</x:v>
      </x:c>
      <x:c r="F11" s="22" t="str">
        <x:v>Khải</x:v>
      </x:c>
      <x:c r="G11" s="22" t="str">
        <x:v>Web / Mobile</x:v>
      </x:c>
      <x:c r="H11" s="22" t="str">
        <x:v>Not Run</x:v>
      </x:c>
      <x:c r="I11" s="22" t="str"/>
      <x:c r="J11" s="22" t="str"/>
      <x:c r="K11" s="22" t="str"/>
    </x:row>
    <x:row r="12" ht="29" customHeight="1">
      <x:c r="A12" s="32" t="str">
        <x:v>A04-TC02</x:v>
      </x:c>
      <x:c r="B12" s="32" t="str">
        <x:v>A04</x:v>
      </x:c>
      <x:c r="C12" s="32" t="str">
        <x:v>Negative</x:v>
      </x:c>
      <x:c r="D12" s="32" t="str">
        <x:v>Reset email lạ/OTP sai</x:v>
      </x:c>
      <x:c r="E12" s="32" t="str">
        <x:v>Không rò trạng thái account.</x:v>
      </x:c>
      <x:c r="F12" s="32" t="str">
        <x:v>Khải</x:v>
      </x:c>
      <x:c r="G12" s="32" t="str">
        <x:v>Web / Mobile</x:v>
      </x:c>
      <x:c r="H12" s="32" t="str">
        <x:v>Not Run</x:v>
      </x:c>
      <x:c r="I12" s="32" t="str"/>
      <x:c r="J12" s="32" t="str"/>
      <x:c r="K12" s="32" t="str"/>
    </x:row>
    <x:row r="13" ht="29" customHeight="1">
      <x:c r="A13" s="22" t="str">
        <x:v>A05-TC01</x:v>
      </x:c>
      <x:c r="B13" s="22" t="str">
        <x:v>A05</x:v>
      </x:c>
      <x:c r="C13" s="22" t="str">
        <x:v>Happy</x:v>
      </x:c>
      <x:c r="D13" s="22" t="str">
        <x:v>Đổi mật khẩu cho user test</x:v>
      </x:c>
      <x:c r="E13" s="22" t="str">
        <x:v>Credential đổi và thông báo thành công.</x:v>
      </x:c>
      <x:c r="F13" s="22" t="str">
        <x:v>Khải</x:v>
      </x:c>
      <x:c r="G13" s="22" t="str">
        <x:v>Web / Mobile</x:v>
      </x:c>
      <x:c r="H13" s="22" t="str">
        <x:v>Not Run</x:v>
      </x:c>
      <x:c r="I13" s="22" t="str"/>
      <x:c r="J13" s="22" t="str"/>
      <x:c r="K13" s="22" t="str"/>
    </x:row>
    <x:row r="14" ht="29" customHeight="1">
      <x:c r="A14" s="32" t="str">
        <x:v>A05-TC02</x:v>
      </x:c>
      <x:c r="B14" s="32" t="str">
        <x:v>A05</x:v>
      </x:c>
      <x:c r="C14" s="32" t="str">
        <x:v>Negative</x:v>
      </x:c>
      <x:c r="D14" s="32" t="str">
        <x:v>Sai proof/đổi password user khác</x:v>
      </x:c>
      <x:c r="E14" s="32" t="str">
        <x:v>Không cập nhật credential.</x:v>
      </x:c>
      <x:c r="F14" s="32" t="str">
        <x:v>Khải</x:v>
      </x:c>
      <x:c r="G14" s="32" t="str">
        <x:v>Web / Mobile</x:v>
      </x:c>
      <x:c r="H14" s="32" t="str">
        <x:v>Not Run</x:v>
      </x:c>
      <x:c r="I14" s="32" t="str"/>
      <x:c r="J14" s="32" t="str"/>
      <x:c r="K14" s="32" t="str"/>
    </x:row>
    <x:row r="15" ht="29" customHeight="1">
      <x:c r="A15" s="22" t="str">
        <x:v>A06-TC01</x:v>
      </x:c>
      <x:c r="B15" s="22" t="str">
        <x:v>A06</x:v>
      </x:c>
      <x:c r="C15" s="22" t="str">
        <x:v>Happy</x:v>
      </x:c>
      <x:c r="D15" s="22" t="str">
        <x:v>Login rồi Logout, thử lại protected API</x:v>
      </x:c>
      <x:c r="E15" s="22" t="str">
        <x:v>401 và UI về Guest.</x:v>
      </x:c>
      <x:c r="F15" s="22" t="str">
        <x:v>Khải</x:v>
      </x:c>
      <x:c r="G15" s="22" t="str">
        <x:v>Web / Mobile</x:v>
      </x:c>
      <x:c r="H15" s="22" t="str">
        <x:v>Not Run</x:v>
      </x:c>
      <x:c r="I15" s="22" t="str"/>
      <x:c r="J15" s="22" t="str"/>
      <x:c r="K15" s="22" t="str"/>
    </x:row>
    <x:row r="16" ht="29" customHeight="1">
      <x:c r="A16" s="32" t="str">
        <x:v>A06-TC02</x:v>
      </x:c>
      <x:c r="B16" s="32" t="str">
        <x:v>A06</x:v>
      </x:c>
      <x:c r="C16" s="32" t="str">
        <x:v>Negative</x:v>
      </x:c>
      <x:c r="D16" s="32" t="str">
        <x:v>Sử dụng refresh token vừa logout</x:v>
      </x:c>
      <x:c r="E16" s="32" t="str">
        <x:v>Không cấp access token mới.</x:v>
      </x:c>
      <x:c r="F16" s="32" t="str">
        <x:v>Khải</x:v>
      </x:c>
      <x:c r="G16" s="32" t="str">
        <x:v>Web / Mobile</x:v>
      </x:c>
      <x:c r="H16" s="32" t="str">
        <x:v>Not Run</x:v>
      </x:c>
      <x:c r="I16" s="32" t="str"/>
      <x:c r="J16" s="32" t="str"/>
      <x:c r="K16" s="32" t="str"/>
    </x:row>
    <x:row r="17" ht="29" customHeight="1">
      <x:c r="A17" s="22" t="str">
        <x:v>A07-TC01</x:v>
      </x:c>
      <x:c r="B17" s="22" t="str">
        <x:v>A07</x:v>
      </x:c>
      <x:c r="C17" s="22" t="str">
        <x:v>Happy</x:v>
      </x:c>
      <x:c r="D17" s="22" t="str">
        <x:v>Login 2 thiết bị test, revoke all</x:v>
      </x:c>
      <x:c r="E17" s="22" t="str">
        <x:v>Cả 2 không refresh lại được.</x:v>
      </x:c>
      <x:c r="F17" s="22" t="str">
        <x:v>Hùng</x:v>
      </x:c>
      <x:c r="G17" s="22" t="str">
        <x:v>Web / Mobile</x:v>
      </x:c>
      <x:c r="H17" s="22" t="str">
        <x:v>Not Run</x:v>
      </x:c>
      <x:c r="I17" s="22" t="str"/>
      <x:c r="J17" s="22" t="str"/>
      <x:c r="K17" s="22" t="str"/>
    </x:row>
    <x:row r="18" ht="29" customHeight="1">
      <x:c r="A18" s="32" t="str">
        <x:v>A07-TC02</x:v>
      </x:c>
      <x:c r="B18" s="32" t="str">
        <x:v>A07</x:v>
      </x:c>
      <x:c r="C18" s="32" t="str">
        <x:v>Negative</x:v>
      </x:c>
      <x:c r="D18" s="32" t="str">
        <x:v>Revoke all của User A, xem User B</x:v>
      </x:c>
      <x:c r="E18" s="32" t="str">
        <x:v>User B không ảnh hưởng.</x:v>
      </x:c>
      <x:c r="F18" s="32" t="str">
        <x:v>Hùng</x:v>
      </x:c>
      <x:c r="G18" s="32" t="str">
        <x:v>Web / Mobile</x:v>
      </x:c>
      <x:c r="H18" s="32" t="str">
        <x:v>Not Run</x:v>
      </x:c>
      <x:c r="I18" s="32" t="str"/>
      <x:c r="J18" s="32" t="str"/>
      <x:c r="K18" s="32" t="str"/>
    </x:row>
    <x:row r="19" ht="29" customHeight="1">
      <x:c r="A19" s="22" t="str">
        <x:v>A08-TC01</x:v>
      </x:c>
      <x:c r="B19" s="22" t="str">
        <x:v>A08</x:v>
      </x:c>
      <x:c r="C19" s="22" t="str">
        <x:v>Happy</x:v>
      </x:c>
      <x:c r="D19" s="22" t="str">
        <x:v>Đổi displayName, reload</x:v>
      </x:c>
      <x:c r="E19" s="22" t="str">
        <x:v>Dữ liệu được lưu.</x:v>
      </x:c>
      <x:c r="F19" s="22" t="str">
        <x:v>Thắng</x:v>
      </x:c>
      <x:c r="G19" s="22" t="str">
        <x:v>Web / Mobile</x:v>
      </x:c>
      <x:c r="H19" s="22" t="str">
        <x:v>Not Run</x:v>
      </x:c>
      <x:c r="I19" s="22" t="str"/>
      <x:c r="J19" s="22" t="str"/>
      <x:c r="K19" s="22" t="str"/>
    </x:row>
    <x:row r="20" ht="29" customHeight="1">
      <x:c r="A20" s="32" t="str">
        <x:v>A08-TC02</x:v>
      </x:c>
      <x:c r="B20" s="32" t="str">
        <x:v>A08</x:v>
      </x:c>
      <x:c r="C20" s="32" t="str">
        <x:v>Negative</x:v>
      </x:c>
      <x:c r="D20" s="32" t="str">
        <x:v>PATCH profile user khác/field cấm</x:v>
      </x:c>
      <x:c r="E20" s="32" t="str">
        <x:v>403/validation theo policy.</x:v>
      </x:c>
      <x:c r="F20" s="32" t="str">
        <x:v>Thắng</x:v>
      </x:c>
      <x:c r="G20" s="32" t="str">
        <x:v>Web / Mobile</x:v>
      </x:c>
      <x:c r="H20" s="32" t="str">
        <x:v>Not Run</x:v>
      </x:c>
      <x:c r="I20" s="32" t="str"/>
      <x:c r="J20" s="32" t="str"/>
      <x:c r="K20" s="32" t="str"/>
    </x:row>
    <x:row r="21" ht="29" customHeight="1">
      <x:c r="A21" s="22" t="str">
        <x:v>S01-TC01</x:v>
      </x:c>
      <x:c r="B21" s="22" t="str">
        <x:v>S01</x:v>
      </x:c>
      <x:c r="C21" s="22" t="str">
        <x:v>Happy</x:v>
      </x:c>
      <x:c r="D21" s="22" t="str">
        <x:v>Dán URL fixture → Scan</x:v>
      </x:c>
      <x:c r="E21" s="22" t="str">
        <x:v>Result có score/level/evidence đúng deterministic fixture.</x:v>
      </x:c>
      <x:c r="F21" s="22" t="str">
        <x:v>Thắng</x:v>
      </x:c>
      <x:c r="G21" s="22" t="str">
        <x:v>Web / Mobile</x:v>
      </x:c>
      <x:c r="H21" s="22" t="str">
        <x:v>Not Run</x:v>
      </x:c>
      <x:c r="I21" s="22" t="str"/>
      <x:c r="J21" s="22" t="str"/>
      <x:c r="K21" s="22" t="str"/>
    </x:row>
    <x:row r="22" ht="29" customHeight="1">
      <x:c r="A22" s="32" t="str">
        <x:v>S01-TC02</x:v>
      </x:c>
      <x:c r="B22" s="32" t="str">
        <x:v>S01</x:v>
      </x:c>
      <x:c r="C22" s="32" t="str">
        <x:v>Negative</x:v>
      </x:c>
      <x:c r="D22" s="32" t="str">
        <x:v>URL lỗi/hết quota/SSRF fixture</x:v>
      </x:c>
      <x:c r="E22" s="32" t="str">
        <x:v>Không fetch hoặc publish trái phép, thông báo đúng.</x:v>
      </x:c>
      <x:c r="F22" s="32" t="str">
        <x:v>Thắng</x:v>
      </x:c>
      <x:c r="G22" s="32" t="str">
        <x:v>Web / Mobile</x:v>
      </x:c>
      <x:c r="H22" s="32" t="str">
        <x:v>Not Run</x:v>
      </x:c>
      <x:c r="I22" s="32" t="str"/>
      <x:c r="J22" s="32" t="str"/>
      <x:c r="K22" s="32" t="str"/>
    </x:row>
    <x:row r="23" ht="29" customHeight="1">
      <x:c r="A23" s="22" t="str">
        <x:v>S01-TC03</x:v>
      </x:c>
      <x:c r="B23" s="22" t="str">
        <x:v>S01</x:v>
      </x:c>
      <x:c r="C23" s="22" t="str">
        <x:v>Failure</x:v>
      </x:c>
      <x:c r="D23" s="22" t="str">
        <x:v>Worker timeout/queue retry fixture</x:v>
      </x:c>
      <x:c r="E23" s="22" t="str">
        <x:v>FAILED/degraded, trace tìm được.</x:v>
      </x:c>
      <x:c r="F23" s="22" t="str">
        <x:v>Thắng</x:v>
      </x:c>
      <x:c r="G23" s="22" t="str">
        <x:v>Web / Mobile</x:v>
      </x:c>
      <x:c r="H23" s="22" t="str">
        <x:v>Not Run</x:v>
      </x:c>
      <x:c r="I23" s="22" t="str"/>
      <x:c r="J23" s="22" t="str"/>
      <x:c r="K23" s="22" t="str"/>
    </x:row>
    <x:row r="24" ht="29" customHeight="1">
      <x:c r="A24" s="32" t="str">
        <x:v>S02-TC01</x:v>
      </x:c>
      <x:c r="B24" s="32" t="str">
        <x:v>S02</x:v>
      </x:c>
      <x:c r="C24" s="32" t="str">
        <x:v>Happy</x:v>
      </x:c>
      <x:c r="D24" s="32" t="str">
        <x:v>Tin nhắn fixture có pattern/indicator</x:v>
      </x:c>
      <x:c r="E24" s="32" t="str">
        <x:v>Evidence &amp; result phản ánh fixture.</x:v>
      </x:c>
      <x:c r="F24" s="32" t="str">
        <x:v>Kiên</x:v>
      </x:c>
      <x:c r="G24" s="32" t="str">
        <x:v>Web / Mobile</x:v>
      </x:c>
      <x:c r="H24" s="32" t="str">
        <x:v>Not Run</x:v>
      </x:c>
      <x:c r="I24" s="32" t="str"/>
      <x:c r="J24" s="32" t="str"/>
      <x:c r="K24" s="32" t="str"/>
    </x:row>
    <x:row r="25" ht="29" customHeight="1">
      <x:c r="A25" s="22" t="str">
        <x:v>S02-TC02</x:v>
      </x:c>
      <x:c r="B25" s="22" t="str">
        <x:v>S02</x:v>
      </x:c>
      <x:c r="C25" s="22" t="str">
        <x:v>Transaction</x:v>
      </x:c>
      <x:c r="D25" s="22" t="str">
        <x:v>Bài đăng giao dịch fixture</x:v>
      </x:c>
      <x:c r="E25" s="22" t="str">
        <x:v>Correct contentType.</x:v>
      </x:c>
      <x:c r="F25" s="22" t="str">
        <x:v>Kiên</x:v>
      </x:c>
      <x:c r="G25" s="22" t="str">
        <x:v>Web / Mobile</x:v>
      </x:c>
      <x:c r="H25" s="22" t="str">
        <x:v>Not Run</x:v>
      </x:c>
      <x:c r="I25" s="22" t="str"/>
      <x:c r="J25" s="22" t="str"/>
      <x:c r="K25" s="22" t="str"/>
    </x:row>
    <x:row r="26" ht="29" customHeight="1">
      <x:c r="A26" s="32" t="str">
        <x:v>S02-TC03</x:v>
      </x:c>
      <x:c r="B26" s="32" t="str">
        <x:v>S02</x:v>
      </x:c>
      <x:c r="C26" s="32" t="str">
        <x:v>AI failure</x:v>
      </x:c>
      <x:c r="D26" s="32" t="str">
        <x:v>AI timeout fixture</x:v>
      </x:c>
      <x:c r="E26" s="32" t="str">
        <x:v>Không kẹt processing, degraded rõ.</x:v>
      </x:c>
      <x:c r="F26" s="32" t="str">
        <x:v>Kiên</x:v>
      </x:c>
      <x:c r="G26" s="32" t="str">
        <x:v>Web / Mobile</x:v>
      </x:c>
      <x:c r="H26" s="32" t="str">
        <x:v>Not Run</x:v>
      </x:c>
      <x:c r="I26" s="32" t="str"/>
      <x:c r="J26" s="32" t="str"/>
      <x:c r="K26" s="32" t="str"/>
    </x:row>
    <x:row r="27" ht="29" customHeight="1">
      <x:c r="A27" s="22" t="str">
        <x:v>S03-TC01</x:v>
      </x:c>
      <x:c r="B27" s="22" t="str">
        <x:v>S03</x:v>
      </x:c>
      <x:c r="C27" s="22" t="str">
        <x:v>Known risky</x:v>
      </x:c>
      <x:c r="D27" s="22" t="str">
        <x:v>Số seeded high-risk</x:v>
      </x:c>
      <x:c r="E27" s="22" t="str">
        <x:v>Hiển thị nguồn/evidence hợp lệ.</x:v>
      </x:c>
      <x:c r="F27" s="22" t="str">
        <x:v>Hùng</x:v>
      </x:c>
      <x:c r="G27" s="22" t="str">
        <x:v>Web / Mobile</x:v>
      </x:c>
      <x:c r="H27" s="22" t="str">
        <x:v>Not Run</x:v>
      </x:c>
      <x:c r="I27" s="22" t="str"/>
      <x:c r="J27" s="22" t="str"/>
      <x:c r="K27" s="22" t="str"/>
    </x:row>
    <x:row r="28" ht="29" customHeight="1">
      <x:c r="A28" s="32" t="str">
        <x:v>S03-TC02</x:v>
      </x:c>
      <x:c r="B28" s="32" t="str">
        <x:v>S03</x:v>
      </x:c>
      <x:c r="C28" s="32" t="str">
        <x:v>Unknown</x:v>
      </x:c>
      <x:c r="D28" s="32" t="str">
        <x:v>Số không có dữ liệu</x:v>
      </x:c>
      <x:c r="E28" s="32" t="str">
        <x:v>Hiển thị NO_DATA, không SAFE.</x:v>
      </x:c>
      <x:c r="F28" s="32" t="str">
        <x:v>Hùng</x:v>
      </x:c>
      <x:c r="G28" s="32" t="str">
        <x:v>Web / Mobile</x:v>
      </x:c>
      <x:c r="H28" s="32" t="str">
        <x:v>Not Run</x:v>
      </x:c>
      <x:c r="I28" s="32" t="str"/>
      <x:c r="J28" s="32" t="str"/>
      <x:c r="K28" s="32" t="str"/>
    </x:row>
    <x:row r="29" ht="29" customHeight="1">
      <x:c r="A29" s="22" t="str">
        <x:v>S03-TC03</x:v>
      </x:c>
      <x:c r="B29" s="22" t="str">
        <x:v>S03</x:v>
      </x:c>
      <x:c r="C29" s="22" t="str">
        <x:v>Outage</x:v>
      </x:c>
      <x:c r="D29" s="22" t="str">
        <x:v>Threat provider unavailable</x:v>
      </x:c>
      <x:c r="E29" s="22" t="str">
        <x:v>Degraded/unavailable, không false safe.</x:v>
      </x:c>
      <x:c r="F29" s="22" t="str">
        <x:v>Hùng</x:v>
      </x:c>
      <x:c r="G29" s="22" t="str">
        <x:v>Web / Mobile</x:v>
      </x:c>
      <x:c r="H29" s="22" t="str">
        <x:v>Not Run</x:v>
      </x:c>
      <x:c r="I29" s="22" t="str"/>
      <x:c r="J29" s="22" t="str"/>
      <x:c r="K29" s="22" t="str"/>
    </x:row>
    <x:row r="30" ht="29" customHeight="1">
      <x:c r="A30" s="32" t="str">
        <x:v>S04-TC01</x:v>
      </x:c>
      <x:c r="B30" s="32" t="str">
        <x:v>S04</x:v>
      </x:c>
      <x:c r="C30" s="32" t="str">
        <x:v>Known</x:v>
      </x:c>
      <x:c r="D30" s="32" t="str">
        <x:v>STK + bankCode seeded</x:v>
      </x:c>
      <x:c r="E30" s="32" t="str">
        <x:v>Evidence/reputation đúng bank.</x:v>
      </x:c>
      <x:c r="F30" s="32" t="str">
        <x:v>Hùng</x:v>
      </x:c>
      <x:c r="G30" s="32" t="str">
        <x:v>Web / Mobile</x:v>
      </x:c>
      <x:c r="H30" s="32" t="str">
        <x:v>Not Run</x:v>
      </x:c>
      <x:c r="I30" s="32" t="str"/>
      <x:c r="J30" s="32" t="str"/>
      <x:c r="K30" s="32" t="str"/>
    </x:row>
    <x:row r="31" ht="29" customHeight="1">
      <x:c r="A31" s="22" t="str">
        <x:v>S04-TC02</x:v>
      </x:c>
      <x:c r="B31" s="22" t="str">
        <x:v>S04</x:v>
      </x:c>
      <x:c r="C31" s="22" t="str">
        <x:v>Ambiguous</x:v>
      </x:c>
      <x:c r="D31" s="22" t="str">
        <x:v>STK không bankCode có nhiều match</x:v>
      </x:c>
      <x:c r="E31" s="22" t="str">
        <x:v>Trả trạng thái theo policy, không match tùy tiện.</x:v>
      </x:c>
      <x:c r="F31" s="22" t="str">
        <x:v>Hùng</x:v>
      </x:c>
      <x:c r="G31" s="22" t="str">
        <x:v>Web / Mobile</x:v>
      </x:c>
      <x:c r="H31" s="22" t="str">
        <x:v>Not Run</x:v>
      </x:c>
      <x:c r="I31" s="22" t="str"/>
      <x:c r="J31" s="22" t="str"/>
      <x:c r="K31" s="22" t="str"/>
    </x:row>
    <x:row r="32" ht="29" customHeight="1">
      <x:c r="A32" s="32" t="str">
        <x:v>S04-TC03</x:v>
      </x:c>
      <x:c r="B32" s="32" t="str">
        <x:v>S04</x:v>
      </x:c>
      <x:c r="C32" s="32" t="str">
        <x:v>Unknown</x:v>
      </x:c>
      <x:c r="D32" s="32" t="str">
        <x:v>STK chưa biết</x:v>
      </x:c>
      <x:c r="E32" s="32" t="str">
        <x:v>NO_DATA khác SAFE.</x:v>
      </x:c>
      <x:c r="F32" s="32" t="str">
        <x:v>Hùng</x:v>
      </x:c>
      <x:c r="G32" s="32" t="str">
        <x:v>Web / Mobile</x:v>
      </x:c>
      <x:c r="H32" s="32" t="str">
        <x:v>Not Run</x:v>
      </x:c>
      <x:c r="I32" s="32" t="str"/>
      <x:c r="J32" s="32" t="str"/>
      <x:c r="K32" s="32" t="str"/>
    </x:row>
    <x:row r="33" ht="29" customHeight="1">
      <x:c r="A33" s="22" t="str">
        <x:v>S05-TC01</x:v>
      </x:c>
      <x:c r="B33" s="22" t="str">
        <x:v>S05</x:v>
      </x:c>
      <x:c r="C33" s="22" t="str">
        <x:v>URL QR</x:v>
      </x:c>
      <x:c r="D33" s="22" t="str">
        <x:v>Upload QR URL fixture</x:v>
      </x:c>
      <x:c r="E33" s="22" t="str">
        <x:v>Không auto navigate, child URL result.</x:v>
      </x:c>
      <x:c r="F33" s="22" t="str">
        <x:v>Kiên</x:v>
      </x:c>
      <x:c r="G33" s="22" t="str">
        <x:v>Web / Mobile</x:v>
      </x:c>
      <x:c r="H33" s="22" t="str">
        <x:v>Not Run</x:v>
      </x:c>
      <x:c r="I33" s="22" t="str"/>
      <x:c r="J33" s="22" t="str"/>
      <x:c r="K33" s="22" t="str"/>
    </x:row>
    <x:row r="34" ht="29" customHeight="1">
      <x:c r="A34" s="32" t="str">
        <x:v>S05-TC02</x:v>
      </x:c>
      <x:c r="B34" s="32" t="str">
        <x:v>S05</x:v>
      </x:c>
      <x:c r="C34" s="32" t="str">
        <x:v>VietQR</x:v>
      </x:c>
      <x:c r="D34" s="32" t="str">
        <x:v>QR bank fixture</x:v>
      </x:c>
      <x:c r="E34" s="32" t="str">
        <x:v>Parsed account/bank chính xác.</x:v>
      </x:c>
      <x:c r="F34" s="32" t="str">
        <x:v>Kiên</x:v>
      </x:c>
      <x:c r="G34" s="32" t="str">
        <x:v>Web / Mobile</x:v>
      </x:c>
      <x:c r="H34" s="32" t="str">
        <x:v>Not Run</x:v>
      </x:c>
      <x:c r="I34" s="32" t="str"/>
      <x:c r="J34" s="32" t="str"/>
      <x:c r="K34" s="32" t="str"/>
    </x:row>
    <x:row r="35" ht="29" customHeight="1">
      <x:c r="A35" s="22" t="str">
        <x:v>S05-TC03</x:v>
      </x:c>
      <x:c r="B35" s="22" t="str">
        <x:v>S05</x:v>
      </x:c>
      <x:c r="C35" s="22" t="str">
        <x:v>Unsupported</x:v>
      </x:c>
      <x:c r="D35" s="22" t="str">
        <x:v>QR loại không hỗ trợ</x:v>
      </x:c>
      <x:c r="E35" s="22" t="str">
        <x:v>Không đánh giá SAFE.</x:v>
      </x:c>
      <x:c r="F35" s="22" t="str">
        <x:v>Kiên</x:v>
      </x:c>
      <x:c r="G35" s="22" t="str">
        <x:v>Web / Mobile</x:v>
      </x:c>
      <x:c r="H35" s="22" t="str">
        <x:v>Not Run</x:v>
      </x:c>
      <x:c r="I35" s="22" t="str"/>
      <x:c r="J35" s="22" t="str"/>
      <x:c r="K35" s="22" t="str"/>
    </x:row>
    <x:row r="36" ht="29" customHeight="1">
      <x:c r="A36" s="32" t="str">
        <x:v>S05-TC04</x:v>
      </x:c>
      <x:c r="B36" s="32" t="str">
        <x:v>S05</x:v>
      </x:c>
      <x:c r="C36" s="32" t="str">
        <x:v>Fail child</x:v>
      </x:c>
      <x:c r="D36" s="32" t="str">
        <x:v>Child worker fail fixture</x:v>
      </x:c>
      <x:c r="E36" s="32" t="str">
        <x:v>Parent terminal/degraded.</x:v>
      </x:c>
      <x:c r="F36" s="32" t="str">
        <x:v>Kiên</x:v>
      </x:c>
      <x:c r="G36" s="32" t="str">
        <x:v>Web / Mobile</x:v>
      </x:c>
      <x:c r="H36" s="32" t="str">
        <x:v>Not Run</x:v>
      </x:c>
      <x:c r="I36" s="32" t="str"/>
      <x:c r="J36" s="32" t="str"/>
      <x:c r="K36" s="32" t="str"/>
    </x:row>
    <x:row r="37" ht="29" customHeight="1">
      <x:c r="A37" s="22" t="str">
        <x:v>R01-TC01</x:v>
      </x:c>
      <x:c r="B37" s="22" t="str">
        <x:v>R01</x:v>
      </x:c>
      <x:c r="C37" s="22" t="str">
        <x:v>Happy</x:v>
      </x:c>
      <x:c r="D37" s="22" t="str">
        <x:v>Dùng delayed worker fixture</x:v>
      </x:c>
      <x:c r="E37" s="22" t="str">
        <x:v>Quan sát trạng thái chuyển đến terminal.</x:v>
      </x:c>
      <x:c r="F37" s="22" t="str">
        <x:v>Hùng</x:v>
      </x:c>
      <x:c r="G37" s="22" t="str">
        <x:v>Web / Mobile</x:v>
      </x:c>
      <x:c r="H37" s="22" t="str">
        <x:v>Not Run</x:v>
      </x:c>
      <x:c r="I37" s="22" t="str"/>
      <x:c r="J37" s="22" t="str"/>
      <x:c r="K37" s="22" t="str"/>
    </x:row>
    <x:row r="38" ht="29" customHeight="1">
      <x:c r="A38" s="32" t="str">
        <x:v>R01-TC02</x:v>
      </x:c>
      <x:c r="B38" s="32" t="str">
        <x:v>R01</x:v>
      </x:c>
      <x:c r="C38" s="32" t="str">
        <x:v>Failure</x:v>
      </x:c>
      <x:c r="D38" s="32" t="str">
        <x:v>Worker timeout + invalid guest proof</x:v>
      </x:c>
      <x:c r="E38" s="32" t="str">
        <x:v>Terminal hiện đúng và từ chối truy cập trái phép.</x:v>
      </x:c>
      <x:c r="F38" s="32" t="str">
        <x:v>Hùng</x:v>
      </x:c>
      <x:c r="G38" s="32" t="str">
        <x:v>Web / Mobile</x:v>
      </x:c>
      <x:c r="H38" s="32" t="str">
        <x:v>Not Run</x:v>
      </x:c>
      <x:c r="I38" s="32" t="str"/>
      <x:c r="J38" s="32" t="str"/>
      <x:c r="K38" s="32" t="str"/>
    </x:row>
    <x:row r="39" ht="29" customHeight="1">
      <x:c r="A39" s="22" t="str">
        <x:v>R02-TC01</x:v>
      </x:c>
      <x:c r="B39" s="22" t="str">
        <x:v>R02</x:v>
      </x:c>
      <x:c r="C39" s="22" t="str">
        <x:v>Safe/risky fixture</x:v>
      </x:c>
      <x:c r="D39" s="22" t="str">
        <x:v>Mở result fixtures</x:v>
      </x:c>
      <x:c r="E39" s="22" t="str">
        <x:v>Score, explanation, evidence đúng.</x:v>
      </x:c>
      <x:c r="F39" s="22" t="str">
        <x:v>Kiên</x:v>
      </x:c>
      <x:c r="G39" s="22" t="str">
        <x:v>Web / Mobile</x:v>
      </x:c>
      <x:c r="H39" s="22" t="str">
        <x:v>Not Run</x:v>
      </x:c>
      <x:c r="I39" s="22" t="str"/>
      <x:c r="J39" s="22" t="str"/>
      <x:c r="K39" s="22" t="str"/>
    </x:row>
    <x:row r="40" ht="29" customHeight="1">
      <x:c r="A40" s="32" t="str">
        <x:v>R02-TC02</x:v>
      </x:c>
      <x:c r="B40" s="32" t="str">
        <x:v>R02</x:v>
      </x:c>
      <x:c r="C40" s="32" t="str">
        <x:v>Degraded</x:v>
      </x:c>
      <x:c r="D40" s="32" t="str">
        <x:v>Mở result partial fixture</x:v>
      </x:c>
      <x:c r="E40" s="32" t="str">
        <x:v>Không hiển thị sai thành SAFE.</x:v>
      </x:c>
      <x:c r="F40" s="32" t="str">
        <x:v>Kiên</x:v>
      </x:c>
      <x:c r="G40" s="32" t="str">
        <x:v>Web / Mobile</x:v>
      </x:c>
      <x:c r="H40" s="32" t="str">
        <x:v>Not Run</x:v>
      </x:c>
      <x:c r="I40" s="32" t="str"/>
      <x:c r="J40" s="32" t="str"/>
      <x:c r="K40" s="32" t="str"/>
    </x:row>
    <x:row r="41" ht="29" customHeight="1">
      <x:c r="A41" s="22" t="str">
        <x:v>R03-TC01</x:v>
      </x:c>
      <x:c r="B41" s="22" t="str">
        <x:v>R03</x:v>
      </x:c>
      <x:c r="C41" s="22" t="str">
        <x:v>Happy</x:v>
      </x:c>
      <x:c r="D41" s="22" t="str">
        <x:v>Seed 2 users nhiều scan, mở history</x:v>
      </x:c>
      <x:c r="E41" s="22" t="str">
        <x:v>Chỉ thấy dữ liệu đúng owner.</x:v>
      </x:c>
      <x:c r="F41" s="22" t="str">
        <x:v>Kiên</x:v>
      </x:c>
      <x:c r="G41" s="22" t="str">
        <x:v>Web / Mobile</x:v>
      </x:c>
      <x:c r="H41" s="22" t="str">
        <x:v>Not Run</x:v>
      </x:c>
      <x:c r="I41" s="22" t="str"/>
      <x:c r="J41" s="22" t="str"/>
      <x:c r="K41" s="22" t="str"/>
    </x:row>
    <x:row r="42" ht="29" customHeight="1">
      <x:c r="A42" s="32" t="str">
        <x:v>R03-TC02</x:v>
      </x:c>
      <x:c r="B42" s="32" t="str">
        <x:v>R03</x:v>
      </x:c>
      <x:c r="C42" s="32" t="str">
        <x:v>Guest</x:v>
      </x:c>
      <x:c r="D42" s="32" t="str">
        <x:v>Guest scan rồi mở history</x:v>
      </x:c>
      <x:c r="E42" s="32" t="str">
        <x:v>Không có account history.</x:v>
      </x:c>
      <x:c r="F42" s="32" t="str">
        <x:v>Kiên</x:v>
      </x:c>
      <x:c r="G42" s="32" t="str">
        <x:v>Web / Mobile</x:v>
      </x:c>
      <x:c r="H42" s="32" t="str">
        <x:v>Not Run</x:v>
      </x:c>
      <x:c r="I42" s="32" t="str"/>
      <x:c r="J42" s="32" t="str"/>
      <x:c r="K42" s="32" t="str"/>
    </x:row>
    <x:row r="43" ht="29" customHeight="1">
      <x:c r="A43" s="22" t="str">
        <x:v>R03-TC03</x:v>
      </x:c>
      <x:c r="B43" s="22" t="str">
        <x:v>R03</x:v>
      </x:c>
      <x:c r="C43" s="22" t="str">
        <x:v>Paging</x:v>
      </x:c>
      <x:c r="D43" s="22" t="str">
        <x:v>Page/filter fixture</x:v>
      </x:c>
      <x:c r="E43" s="22" t="str">
        <x:v>Thứ tự và số item chính xác.</x:v>
      </x:c>
      <x:c r="F43" s="22" t="str">
        <x:v>Kiên</x:v>
      </x:c>
      <x:c r="G43" s="22" t="str">
        <x:v>Web / Mobile</x:v>
      </x:c>
      <x:c r="H43" s="22" t="str">
        <x:v>Not Run</x:v>
      </x:c>
      <x:c r="I43" s="22" t="str"/>
      <x:c r="J43" s="22" t="str"/>
      <x:c r="K43" s="22" t="str"/>
    </x:row>
    <x:row r="44" ht="29" customHeight="1">
      <x:c r="A44" s="32" t="str">
        <x:v>R04-TC01</x:v>
      </x:c>
      <x:c r="B44" s="32" t="str">
        <x:v>R04</x:v>
      </x:c>
      <x:c r="C44" s="32" t="str">
        <x:v>Happy</x:v>
      </x:c>
      <x:c r="D44" s="32" t="str">
        <x:v>Export fixture scan</x:v>
      </x:c>
      <x:c r="E44" s="32" t="str">
        <x:v>File mở được, đúng result.</x:v>
      </x:c>
      <x:c r="F44" s="32" t="str">
        <x:v>Kiên</x:v>
      </x:c>
      <x:c r="G44" s="32" t="str">
        <x:v>Web / Mobile</x:v>
      </x:c>
      <x:c r="H44" s="32" t="str">
        <x:v>Not Run</x:v>
      </x:c>
      <x:c r="I44" s="32" t="str"/>
      <x:c r="J44" s="32" t="str"/>
      <x:c r="K44" s="32" t="str"/>
    </x:row>
    <x:row r="45" ht="29" customHeight="1">
      <x:c r="A45" s="22" t="str">
        <x:v>R04-TC02</x:v>
      </x:c>
      <x:c r="B45" s="22" t="str">
        <x:v>R04</x:v>
      </x:c>
      <x:c r="C45" s="22" t="str">
        <x:v>Security</x:v>
      </x:c>
      <x:c r="D45" s="22" t="str">
        <x:v>User khác tải export</x:v>
      </x:c>
      <x:c r="E45" s="22" t="str">
        <x:v>403/deny theo policy.</x:v>
      </x:c>
      <x:c r="F45" s="22" t="str">
        <x:v>Kiên</x:v>
      </x:c>
      <x:c r="G45" s="22" t="str">
        <x:v>Web / Mobile</x:v>
      </x:c>
      <x:c r="H45" s="22" t="str">
        <x:v>Not Run</x:v>
      </x:c>
      <x:c r="I45" s="22" t="str"/>
      <x:c r="J45" s="22" t="str"/>
      <x:c r="K45" s="22" t="str"/>
    </x:row>
    <x:row r="46" ht="29" customHeight="1">
      <x:c r="A46" s="32" t="str">
        <x:v>R05-TC01</x:v>
      </x:c>
      <x:c r="B46" s="32" t="str">
        <x:v>R05</x:v>
      </x:c>
      <x:c r="C46" s="32" t="str">
        <x:v>Happy</x:v>
      </x:c>
      <x:c r="D46" s="32" t="str">
        <x:v>Share allowed result theo policy</x:v>
      </x:c>
      <x:c r="E46" s="32" t="str">
        <x:v>Người nhận mở được đúng phạm vi.</x:v>
      </x:c>
      <x:c r="F46" s="32" t="str">
        <x:v>Thắng</x:v>
      </x:c>
      <x:c r="G46" s="32" t="str">
        <x:v>Web / Mobile</x:v>
      </x:c>
      <x:c r="H46" s="32" t="str">
        <x:v>Not Run</x:v>
      </x:c>
      <x:c r="I46" s="32" t="str"/>
      <x:c r="J46" s="32" t="str"/>
      <x:c r="K46" s="32" t="str"/>
    </x:row>
    <x:row r="47" ht="29" customHeight="1">
      <x:c r="A47" s="22" t="str">
        <x:v>R05-TC02</x:v>
      </x:c>
      <x:c r="B47" s="22" t="str">
        <x:v>R05</x:v>
      </x:c>
      <x:c r="C47" s="22" t="str">
        <x:v>Negative</x:v>
      </x:c>
      <x:c r="D47" s="22" t="str">
        <x:v>Expired/revoked link</x:v>
      </x:c>
      <x:c r="E47" s="22" t="str">
        <x:v>Denied.</x:v>
      </x:c>
      <x:c r="F47" s="22" t="str">
        <x:v>Thắng</x:v>
      </x:c>
      <x:c r="G47" s="22" t="str">
        <x:v>Web / Mobile</x:v>
      </x:c>
      <x:c r="H47" s="22" t="str">
        <x:v>Not Run</x:v>
      </x:c>
      <x:c r="I47" s="22" t="str"/>
      <x:c r="J47" s="22" t="str"/>
      <x:c r="K47" s="22" t="str"/>
    </x:row>
    <x:row r="48" ht="29" customHeight="1">
      <x:c r="A48" s="32" t="str">
        <x:v>C01-TC01</x:v>
      </x:c>
      <x:c r="B48" s="32" t="str">
        <x:v>C01</x:v>
      </x:c>
      <x:c r="C48" s="32" t="str">
        <x:v>Happy</x:v>
      </x:c>
      <x:c r="D48" s="32" t="str">
        <x:v>Submit report seeded entity+evidence</x:v>
      </x:c>
      <x:c r="E48" s="32" t="str">
        <x:v>Report được lưu với trạng thái PENDING.</x:v>
      </x:c>
      <x:c r="F48" s="32" t="str">
        <x:v>Khải</x:v>
      </x:c>
      <x:c r="G48" s="32" t="str">
        <x:v>Web / Mobile</x:v>
      </x:c>
      <x:c r="H48" s="32" t="str">
        <x:v>Not Run</x:v>
      </x:c>
      <x:c r="I48" s="32" t="str"/>
      <x:c r="J48" s="32" t="str"/>
      <x:c r="K48" s="32" t="str"/>
    </x:row>
    <x:row r="49" ht="29" customHeight="1">
      <x:c r="A49" s="22" t="str">
        <x:v>C01-TC02</x:v>
      </x:c>
      <x:c r="B49" s="22" t="str">
        <x:v>C01</x:v>
      </x:c>
      <x:c r="C49" s="22" t="str">
        <x:v>Negative</x:v>
      </x:c>
      <x:c r="D49" s="22" t="str">
        <x:v>Invalid data/oversized evidence</x:v>
      </x:c>
      <x:c r="E49" s="22" t="str">
        <x:v>Không accept sai policy.</x:v>
      </x:c>
      <x:c r="F49" s="22" t="str">
        <x:v>Khải</x:v>
      </x:c>
      <x:c r="G49" s="22" t="str">
        <x:v>Web / Mobile</x:v>
      </x:c>
      <x:c r="H49" s="22" t="str">
        <x:v>Not Run</x:v>
      </x:c>
      <x:c r="I49" s="22" t="str"/>
      <x:c r="J49" s="22" t="str"/>
      <x:c r="K49" s="22" t="str"/>
    </x:row>
    <x:row r="50" ht="29" customHeight="1">
      <x:c r="A50" s="32" t="str">
        <x:v>C02-TC01</x:v>
      </x:c>
      <x:c r="B50" s="32" t="str">
        <x:v>C02</x:v>
      </x:c>
      <x:c r="C50" s="32" t="str">
        <x:v>Happy</x:v>
      </x:c>
      <x:c r="D50" s="32" t="str">
        <x:v>Xem report đã seed</x:v>
      </x:c>
      <x:c r="E50" s="32" t="str">
        <x:v>Status đúng database.</x:v>
      </x:c>
      <x:c r="F50" s="32" t="str">
        <x:v>Thắng</x:v>
      </x:c>
      <x:c r="G50" s="32" t="str">
        <x:v>Web / Mobile</x:v>
      </x:c>
      <x:c r="H50" s="32" t="str">
        <x:v>Not Run</x:v>
      </x:c>
      <x:c r="I50" s="32" t="str"/>
      <x:c r="J50" s="32" t="str"/>
      <x:c r="K50" s="32" t="str"/>
    </x:row>
    <x:row r="51" ht="29" customHeight="1">
      <x:c r="A51" s="22" t="str">
        <x:v>C02-TC02</x:v>
      </x:c>
      <x:c r="B51" s="22" t="str">
        <x:v>C02</x:v>
      </x:c>
      <x:c r="C51" s="22" t="str">
        <x:v>Negative</x:v>
      </x:c>
      <x:c r="D51" s="22" t="str">
        <x:v>User B mở report của A</x:v>
      </x:c>
      <x:c r="E51" s="22" t="str">
        <x:v>Forbidden.</x:v>
      </x:c>
      <x:c r="F51" s="22" t="str">
        <x:v>Thắng</x:v>
      </x:c>
      <x:c r="G51" s="22" t="str">
        <x:v>Web / Mobile</x:v>
      </x:c>
      <x:c r="H51" s="22" t="str">
        <x:v>Not Run</x:v>
      </x:c>
      <x:c r="I51" s="22" t="str"/>
      <x:c r="J51" s="22" t="str"/>
      <x:c r="K51" s="22" t="str"/>
    </x:row>
    <x:row r="52" ht="29" customHeight="1">
      <x:c r="A52" s="32" t="str">
        <x:v>C03-TC01</x:v>
      </x:c>
      <x:c r="B52" s="32" t="str">
        <x:v>C03</x:v>
      </x:c>
      <x:c r="C52" s="32" t="str">
        <x:v>Verified</x:v>
      </x:c>
      <x:c r="D52" s="32" t="str">
        <x:v>Moderator xác minh report fixture, scan lại entity</x:v>
      </x:c>
      <x:c r="E52" s="32" t="str">
        <x:v>Reputation cập nhật theo policy.</x:v>
      </x:c>
      <x:c r="F52" s="32" t="str">
        <x:v>Khải</x:v>
      </x:c>
      <x:c r="G52" s="32" t="str">
        <x:v>Admin Web</x:v>
      </x:c>
      <x:c r="H52" s="32" t="str">
        <x:v>Not Run</x:v>
      </x:c>
      <x:c r="I52" s="32" t="str"/>
      <x:c r="J52" s="32" t="str"/>
      <x:c r="K52" s="32" t="str"/>
    </x:row>
    <x:row r="53" ht="29" customHeight="1">
      <x:c r="A53" s="22" t="str">
        <x:v>C03-TC02</x:v>
      </x:c>
      <x:c r="B53" s="22" t="str">
        <x:v>C03</x:v>
      </x:c>
      <x:c r="C53" s="22" t="str">
        <x:v>Rejected</x:v>
      </x:c>
      <x:c r="D53" s="22" t="str">
        <x:v>Moderator reject, scan lại entity</x:v>
      </x:c>
      <x:c r="E53" s="22" t="str">
        <x:v>Không tăng reputation xấu.</x:v>
      </x:c>
      <x:c r="F53" s="22" t="str">
        <x:v>Khải</x:v>
      </x:c>
      <x:c r="G53" s="22" t="str">
        <x:v>Admin Web</x:v>
      </x:c>
      <x:c r="H53" s="22" t="str">
        <x:v>Not Run</x:v>
      </x:c>
      <x:c r="I53" s="22" t="str"/>
      <x:c r="J53" s="22" t="str"/>
      <x:c r="K53" s="22" t="str"/>
    </x:row>
    <x:row r="54" ht="29" customHeight="1">
      <x:c r="A54" s="32" t="str">
        <x:v>C03-TC03</x:v>
      </x:c>
      <x:c r="B54" s="32" t="str">
        <x:v>C03</x:v>
      </x:c>
      <x:c r="C54" s="32" t="str">
        <x:v>RBAC</x:v>
      </x:c>
      <x:c r="D54" s="32" t="str">
        <x:v>User thường gọi review</x:v>
      </x:c>
      <x:c r="E54" s="32" t="str">
        <x:v>Denied.</x:v>
      </x:c>
      <x:c r="F54" s="32" t="str">
        <x:v>Khải</x:v>
      </x:c>
      <x:c r="G54" s="32" t="str">
        <x:v>Admin Web</x:v>
      </x:c>
      <x:c r="H54" s="32" t="str">
        <x:v>Not Run</x:v>
      </x:c>
      <x:c r="I54" s="32" t="str"/>
      <x:c r="J54" s="32" t="str"/>
      <x:c r="K54" s="32" t="str"/>
    </x:row>
    <x:row r="55" ht="29" customHeight="1">
      <x:c r="A55" s="22" t="str">
        <x:v>T01-TC01</x:v>
      </x:c>
      <x:c r="B55" s="22" t="str">
        <x:v>T01</x:v>
      </x:c>
      <x:c r="C55" s="22" t="str">
        <x:v>Happy</x:v>
      </x:c>
      <x:c r="D55" s="22" t="str">
        <x:v>Admin mở seeded threat source list</x:v>
      </x:c>
      <x:c r="E55" s="22" t="str">
        <x:v>Có nguồn và last sync chính xác.</x:v>
      </x:c>
      <x:c r="F55" s="22" t="str">
        <x:v>Thắng</x:v>
      </x:c>
      <x:c r="G55" s="22" t="str">
        <x:v>Admin Web</x:v>
      </x:c>
      <x:c r="H55" s="22" t="str">
        <x:v>Not Run</x:v>
      </x:c>
      <x:c r="I55" s="22" t="str"/>
      <x:c r="J55" s="22" t="str"/>
      <x:c r="K55" s="22" t="str"/>
    </x:row>
    <x:row r="56" ht="29" customHeight="1">
      <x:c r="A56" s="32" t="str">
        <x:v>T01-TC02</x:v>
      </x:c>
      <x:c r="B56" s="32" t="str">
        <x:v>T01</x:v>
      </x:c>
      <x:c r="C56" s="32" t="str">
        <x:v>Negative</x:v>
      </x:c>
      <x:c r="D56" s="32" t="str">
        <x:v>User mở admin page/API</x:v>
      </x:c>
      <x:c r="E56" s="32" t="str">
        <x:v>Denied.</x:v>
      </x:c>
      <x:c r="F56" s="32" t="str">
        <x:v>Thắng</x:v>
      </x:c>
      <x:c r="G56" s="32" t="str">
        <x:v>Admin Web</x:v>
      </x:c>
      <x:c r="H56" s="32" t="str">
        <x:v>Not Run</x:v>
      </x:c>
      <x:c r="I56" s="32" t="str"/>
      <x:c r="J56" s="32" t="str"/>
      <x:c r="K56" s="32" t="str"/>
    </x:row>
    <x:row r="57" ht="29" customHeight="1">
      <x:c r="A57" s="22" t="str">
        <x:v>T02-TC01</x:v>
      </x:c>
      <x:c r="B57" s="22" t="str">
        <x:v>T02</x:v>
      </x:c>
      <x:c r="C57" s="22" t="str">
        <x:v>Happy</x:v>
      </x:c>
      <x:c r="D57" s="22" t="str">
        <x:v>Disable seeded source, trigger sync</x:v>
      </x:c>
      <x:c r="E57" s="22" t="str">
        <x:v>Sync bị chặn/skip theo policy.</x:v>
      </x:c>
      <x:c r="F57" s="22" t="str">
        <x:v>Hùng</x:v>
      </x:c>
      <x:c r="G57" s="22" t="str">
        <x:v>Admin Web</x:v>
      </x:c>
      <x:c r="H57" s="22" t="str">
        <x:v>Not Run</x:v>
      </x:c>
      <x:c r="I57" s="22" t="str"/>
      <x:c r="J57" s="22" t="str"/>
      <x:c r="K57" s="22" t="str"/>
    </x:row>
    <x:row r="58" ht="29" customHeight="1">
      <x:c r="A58" s="32" t="str">
        <x:v>T02-TC02</x:v>
      </x:c>
      <x:c r="B58" s="32" t="str">
        <x:v>T02</x:v>
      </x:c>
      <x:c r="C58" s="32" t="str">
        <x:v>Negative</x:v>
      </x:c>
      <x:c r="D58" s="32" t="str">
        <x:v>User toggle</x:v>
      </x:c>
      <x:c r="E58" s="32" t="str">
        <x:v>403.</x:v>
      </x:c>
      <x:c r="F58" s="32" t="str">
        <x:v>Hùng</x:v>
      </x:c>
      <x:c r="G58" s="32" t="str">
        <x:v>Admin Web</x:v>
      </x:c>
      <x:c r="H58" s="32" t="str">
        <x:v>Not Run</x:v>
      </x:c>
      <x:c r="I58" s="32" t="str"/>
      <x:c r="J58" s="32" t="str"/>
      <x:c r="K58" s="32" t="str"/>
    </x:row>
    <x:row r="59" ht="29" customHeight="1">
      <x:c r="A59" s="22" t="str">
        <x:v>T03-TC01</x:v>
      </x:c>
      <x:c r="B59" s="22" t="str">
        <x:v>T03</x:v>
      </x:c>
      <x:c r="C59" s="22" t="str">
        <x:v>Happy</x:v>
      </x:c>
      <x:c r="D59" s="22" t="str">
        <x:v>Import known threats fixture rồi scan entity</x:v>
      </x:c>
      <x:c r="E59" s="22" t="str">
        <x:v>Reputation thay đổi và nguồn được hiển thị.</x:v>
      </x:c>
      <x:c r="F59" s="22" t="str">
        <x:v>Hùng</x:v>
      </x:c>
      <x:c r="G59" s="22" t="str">
        <x:v>Admin Web</x:v>
      </x:c>
      <x:c r="H59" s="22" t="str">
        <x:v>Not Run</x:v>
      </x:c>
      <x:c r="I59" s="22" t="str"/>
      <x:c r="J59" s="22" t="str"/>
      <x:c r="K59" s="22" t="str"/>
    </x:row>
    <x:row r="60" ht="29" customHeight="1">
      <x:c r="A60" s="32" t="str">
        <x:v>T03-TC02</x:v>
      </x:c>
      <x:c r="B60" s="32" t="str">
        <x:v>T03</x:v>
      </x:c>
      <x:c r="C60" s="32" t="str">
        <x:v>Duplicate</x:v>
      </x:c>
      <x:c r="D60" s="32" t="str">
        <x:v>Import fixture lần 2</x:v>
      </x:c>
      <x:c r="E60" s="32" t="str">
        <x:v>Không tăng duplicate.</x:v>
      </x:c>
      <x:c r="F60" s="32" t="str">
        <x:v>Hùng</x:v>
      </x:c>
      <x:c r="G60" s="32" t="str">
        <x:v>Admin Web</x:v>
      </x:c>
      <x:c r="H60" s="32" t="str">
        <x:v>Not Run</x:v>
      </x:c>
      <x:c r="I60" s="32" t="str"/>
      <x:c r="J60" s="32" t="str"/>
      <x:c r="K60" s="32" t="str"/>
    </x:row>
    <x:row r="61" ht="29" customHeight="1">
      <x:c r="A61" s="22" t="str">
        <x:v>T03-TC03</x:v>
      </x:c>
      <x:c r="B61" s="22" t="str">
        <x:v>T03</x:v>
      </x:c>
      <x:c r="C61" s="22" t="str">
        <x:v>Failure</x:v>
      </x:c>
      <x:c r="D61" s="22" t="str">
        <x:v>Malformed feed</x:v>
      </x:c>
      <x:c r="E61" s="22" t="str">
        <x:v>Sync failed, dữ liệu trước giữ ổn.</x:v>
      </x:c>
      <x:c r="F61" s="22" t="str">
        <x:v>Hùng</x:v>
      </x:c>
      <x:c r="G61" s="22" t="str">
        <x:v>Admin Web</x:v>
      </x:c>
      <x:c r="H61" s="22" t="str">
        <x:v>Not Run</x:v>
      </x:c>
      <x:c r="I61" s="22" t="str"/>
      <x:c r="J61" s="22" t="str"/>
      <x:c r="K61" s="22" t="str"/>
    </x:row>
    <x:row r="62" ht="29" customHeight="1">
      <x:c r="A62" s="32" t="str">
        <x:v>T04-TC01</x:v>
      </x:c>
      <x:c r="B62" s="32" t="str">
        <x:v>T04</x:v>
      </x:c>
      <x:c r="C62" s="32" t="str">
        <x:v>Happy</x:v>
      </x:c>
      <x:c r="D62" s="32" t="str">
        <x:v>Mở seeded rules/version</x:v>
      </x:c>
      <x:c r="E62" s="32" t="str">
        <x:v>Thấy active và history đúng.</x:v>
      </x:c>
      <x:c r="F62" s="32" t="str">
        <x:v>Kiên</x:v>
      </x:c>
      <x:c r="G62" s="32" t="str">
        <x:v>Admin Web</x:v>
      </x:c>
      <x:c r="H62" s="32" t="str">
        <x:v>Not Run</x:v>
      </x:c>
      <x:c r="I62" s="32" t="str"/>
      <x:c r="J62" s="32" t="str"/>
      <x:c r="K62" s="32" t="str"/>
    </x:row>
    <x:row r="63" ht="29" customHeight="1">
      <x:c r="A63" s="22" t="str">
        <x:v>T04-TC02</x:v>
      </x:c>
      <x:c r="B63" s="22" t="str">
        <x:v>T04</x:v>
      </x:c>
      <x:c r="C63" s="22" t="str">
        <x:v>Negative</x:v>
      </x:c>
      <x:c r="D63" s="22" t="str">
        <x:v>User mở Rules admin</x:v>
      </x:c>
      <x:c r="E63" s="22" t="str">
        <x:v>403.</x:v>
      </x:c>
      <x:c r="F63" s="22" t="str">
        <x:v>Kiên</x:v>
      </x:c>
      <x:c r="G63" s="22" t="str">
        <x:v>Admin Web</x:v>
      </x:c>
      <x:c r="H63" s="22" t="str">
        <x:v>Not Run</x:v>
      </x:c>
      <x:c r="I63" s="22" t="str"/>
      <x:c r="J63" s="22" t="str"/>
      <x:c r="K63" s="22" t="str"/>
    </x:row>
    <x:row r="64" ht="29" customHeight="1">
      <x:c r="A64" s="32" t="str">
        <x:v>T05-TC01</x:v>
      </x:c>
      <x:c r="B64" s="32" t="str">
        <x:v>T05</x:v>
      </x:c>
      <x:c r="C64" s="32" t="str">
        <x:v>Happy</x:v>
      </x:c>
      <x:c r="D64" s="32" t="str">
        <x:v>Create valid new rule version</x:v>
      </x:c>
      <x:c r="E64" s="32" t="str">
        <x:v>Version mới được lưu nhưng chưa active.</x:v>
      </x:c>
      <x:c r="F64" s="32" t="str">
        <x:v>Hùng</x:v>
      </x:c>
      <x:c r="G64" s="32" t="str">
        <x:v>Admin Web</x:v>
      </x:c>
      <x:c r="H64" s="32" t="str">
        <x:v>Not Run</x:v>
      </x:c>
      <x:c r="I64" s="32" t="str"/>
      <x:c r="J64" s="32" t="str"/>
      <x:c r="K64" s="32" t="str"/>
    </x:row>
    <x:row r="65" ht="29" customHeight="1">
      <x:c r="A65" s="22" t="str">
        <x:v>T05-TC02</x:v>
      </x:c>
      <x:c r="B65" s="22" t="str">
        <x:v>T05</x:v>
      </x:c>
      <x:c r="C65" s="22" t="str">
        <x:v>Negative</x:v>
      </x:c>
      <x:c r="D65" s="22" t="str">
        <x:v>Edit ACTIVE in-place</x:v>
      </x:c>
      <x:c r="E65" s="22" t="str">
        <x:v>Bị từ chối.</x:v>
      </x:c>
      <x:c r="F65" s="22" t="str">
        <x:v>Hùng</x:v>
      </x:c>
      <x:c r="G65" s="22" t="str">
        <x:v>Admin Web</x:v>
      </x:c>
      <x:c r="H65" s="22" t="str">
        <x:v>Not Run</x:v>
      </x:c>
      <x:c r="I65" s="22" t="str"/>
      <x:c r="J65" s="22" t="str"/>
      <x:c r="K65" s="22" t="str"/>
    </x:row>
    <x:row r="66" ht="29" customHeight="1">
      <x:c r="A66" s="32" t="str">
        <x:v>T06-TC01</x:v>
      </x:c>
      <x:c r="B66" s="32" t="str">
        <x:v>T06</x:v>
      </x:c>
      <x:c r="C66" s="32" t="str">
        <x:v>Happy</x:v>
      </x:c>
      <x:c r="D66" s="32" t="str">
        <x:v>Activate version mới, re-scan fixture</x:v>
      </x:c>
      <x:c r="E66" s="32" t="str">
        <x:v>RiskResult/evidence đổi dự kiến.</x:v>
      </x:c>
      <x:c r="F66" s="32" t="str">
        <x:v>Hùng</x:v>
      </x:c>
      <x:c r="G66" s="32" t="str">
        <x:v>Admin Web</x:v>
      </x:c>
      <x:c r="H66" s="32" t="str">
        <x:v>Not Run</x:v>
      </x:c>
      <x:c r="I66" s="32" t="str"/>
      <x:c r="J66" s="32" t="str"/>
      <x:c r="K66" s="32" t="str"/>
    </x:row>
    <x:row r="67" ht="29" customHeight="1">
      <x:c r="A67" s="22" t="str">
        <x:v>T06-TC02</x:v>
      </x:c>
      <x:c r="B67" s="22" t="str">
        <x:v>T06</x:v>
      </x:c>
      <x:c r="C67" s="22" t="str">
        <x:v>Negative</x:v>
      </x:c>
      <x:c r="D67" s="22" t="str">
        <x:v>Activation invalid/version from another rule</x:v>
      </x:c>
      <x:c r="E67" s="22" t="str">
        <x:v>Rejected, active không đổi.</x:v>
      </x:c>
      <x:c r="F67" s="22" t="str">
        <x:v>Hùng</x:v>
      </x:c>
      <x:c r="G67" s="22" t="str">
        <x:v>Admin Web</x:v>
      </x:c>
      <x:c r="H67" s="22" t="str">
        <x:v>Not Run</x:v>
      </x:c>
      <x:c r="I67" s="22" t="str"/>
      <x:c r="J67" s="22" t="str"/>
      <x:c r="K67" s="22" t="str"/>
    </x:row>
    <x:row r="68" ht="29" customHeight="1">
      <x:c r="A68" s="32" t="str">
        <x:v>N01-TC01</x:v>
      </x:c>
      <x:c r="B68" s="32" t="str">
        <x:v>N01</x:v>
      </x:c>
      <x:c r="C68" s="32" t="str">
        <x:v>Happy</x:v>
      </x:c>
      <x:c r="D68" s="32" t="str">
        <x:v>Tạo OTP/scan event qua fixture</x:v>
      </x:c>
      <x:c r="E68" s="32" t="str">
        <x:v>Test mailbox/in-app nhận event phù hợp.</x:v>
      </x:c>
      <x:c r="F68" s="32" t="str">
        <x:v>Thắng</x:v>
      </x:c>
      <x:c r="G68" s="32" t="str">
        <x:v>Web / Mobile</x:v>
      </x:c>
      <x:c r="H68" s="32" t="str">
        <x:v>Not Run</x:v>
      </x:c>
      <x:c r="I68" s="32" t="str"/>
      <x:c r="J68" s="32" t="str"/>
      <x:c r="K68" s="32" t="str"/>
    </x:row>
    <x:row r="69" ht="29" customHeight="1">
      <x:c r="A69" s="22" t="str">
        <x:v>N01-TC02</x:v>
      </x:c>
      <x:c r="B69" s="22" t="str">
        <x:v>N01</x:v>
      </x:c>
      <x:c r="C69" s="22" t="str">
        <x:v>Failure</x:v>
      </x:c>
      <x:c r="D69" s="22" t="str">
        <x:v>Ngắt provider fixture</x:v>
      </x:c>
      <x:c r="E69" s="22" t="str">
        <x:v>Failure/retry state và không corrupt core.</x:v>
      </x:c>
      <x:c r="F69" s="22" t="str">
        <x:v>Thắng</x:v>
      </x:c>
      <x:c r="G69" s="22" t="str">
        <x:v>Web / Mobile</x:v>
      </x:c>
      <x:c r="H69" s="22" t="str">
        <x:v>Not Run</x:v>
      </x:c>
      <x:c r="I69" s="22" t="str"/>
      <x:c r="J69" s="22" t="str"/>
      <x:c r="K69" s="22" t="str"/>
    </x:row>
    <x:row r="70" ht="29" customHeight="1">
      <x:c r="A70" s="32" t="str">
        <x:v>N02-TC01</x:v>
      </x:c>
      <x:c r="B70" s="32" t="str">
        <x:v>N02</x:v>
      </x:c>
      <x:c r="C70" s="32" t="str">
        <x:v>Happy</x:v>
      </x:c>
      <x:c r="D70" s="32" t="str">
        <x:v>Seed 2 unread, mark read</x:v>
      </x:c>
      <x:c r="E70" s="32" t="str">
        <x:v>State thay đổi sau reload.</x:v>
      </x:c>
      <x:c r="F70" s="32" t="str">
        <x:v>Kiên</x:v>
      </x:c>
      <x:c r="G70" s="32" t="str">
        <x:v>Web / Mobile</x:v>
      </x:c>
      <x:c r="H70" s="32" t="str">
        <x:v>Not Run</x:v>
      </x:c>
      <x:c r="I70" s="32" t="str"/>
      <x:c r="J70" s="32" t="str"/>
      <x:c r="K70" s="32" t="str"/>
    </x:row>
    <x:row r="71" ht="29" customHeight="1">
      <x:c r="A71" s="22" t="str">
        <x:v>N02-TC02</x:v>
      </x:c>
      <x:c r="B71" s="22" t="str">
        <x:v>N02</x:v>
      </x:c>
      <x:c r="C71" s="22" t="str">
        <x:v>Negative</x:v>
      </x:c>
      <x:c r="D71" s="22" t="str">
        <x:v>User B mở notification A</x:v>
      </x:c>
      <x:c r="E71" s="22" t="str">
        <x:v>Denied.</x:v>
      </x:c>
      <x:c r="F71" s="22" t="str">
        <x:v>Kiên</x:v>
      </x:c>
      <x:c r="G71" s="22" t="str">
        <x:v>Web / Mobile</x:v>
      </x:c>
      <x:c r="H71" s="22" t="str">
        <x:v>Not Run</x:v>
      </x:c>
      <x:c r="I71" s="22" t="str"/>
      <x:c r="J71" s="22" t="str"/>
      <x:c r="K71" s="22" t="str"/>
    </x:row>
    <x:row r="72" ht="29" customHeight="1">
      <x:c r="A72" s="32" t="str">
        <x:v>N03-TC01</x:v>
      </x:c>
      <x:c r="B72" s="32" t="str">
        <x:v>N03</x:v>
      </x:c>
      <x:c r="C72" s="32" t="str">
        <x:v>Happy</x:v>
      </x:c>
      <x:c r="D72" s="32" t="str">
        <x:v>Tắt channel optional, trigger event</x:v>
      </x:c>
      <x:c r="E72" s="32" t="str">
        <x:v>Không deliver kênh đã tắt.</x:v>
      </x:c>
      <x:c r="F72" s="32" t="str">
        <x:v>Kiên</x:v>
      </x:c>
      <x:c r="G72" s="32" t="str">
        <x:v>Web / Mobile</x:v>
      </x:c>
      <x:c r="H72" s="32" t="str">
        <x:v>Not Run</x:v>
      </x:c>
      <x:c r="I72" s="32" t="str"/>
      <x:c r="J72" s="32" t="str"/>
      <x:c r="K72" s="32" t="str"/>
    </x:row>
    <x:row r="73" ht="29" customHeight="1">
      <x:c r="A73" s="22" t="str">
        <x:v>N03-TC02</x:v>
      </x:c>
      <x:c r="B73" s="22" t="str">
        <x:v>N03</x:v>
      </x:c>
      <x:c r="C73" s="22" t="str">
        <x:v>Negative</x:v>
      </x:c>
      <x:c r="D73" s="22" t="str">
        <x:v>Tắt channel bắt buộc/modify user B</x:v>
      </x:c>
      <x:c r="E73" s="22" t="str">
        <x:v>Rejected.</x:v>
      </x:c>
      <x:c r="F73" s="22" t="str">
        <x:v>Kiên</x:v>
      </x:c>
      <x:c r="G73" s="22" t="str">
        <x:v>Web / Mobile</x:v>
      </x:c>
      <x:c r="H73" s="22" t="str">
        <x:v>Not Run</x:v>
      </x:c>
      <x:c r="I73" s="22" t="str"/>
      <x:c r="J73" s="22" t="str"/>
      <x:c r="K73" s="22" t="str"/>
    </x:row>
    <x:row r="74" ht="29" customHeight="1">
      <x:c r="A74" s="32" t="str">
        <x:v>O01-TC01</x:v>
      </x:c>
      <x:c r="B74" s="32" t="str">
        <x:v>O01</x:v>
      </x:c>
      <x:c r="C74" s="32" t="str">
        <x:v>Happy</x:v>
      </x:c>
      <x:c r="D74" s="32" t="str">
        <x:v>Thao tác login/report review rồi lọc audit</x:v>
      </x:c>
      <x:c r="E74" s="32" t="str">
        <x:v>Thấy actor/action/outcome tương ứng.</x:v>
      </x:c>
      <x:c r="F74" s="32" t="str">
        <x:v>Thắng</x:v>
      </x:c>
      <x:c r="G74" s="32" t="str">
        <x:v>Admin Web</x:v>
      </x:c>
      <x:c r="H74" s="32" t="str">
        <x:v>Not Run</x:v>
      </x:c>
      <x:c r="I74" s="32" t="str"/>
      <x:c r="J74" s="32" t="str"/>
      <x:c r="K74" s="32" t="str"/>
    </x:row>
    <x:row r="75" ht="29" customHeight="1">
      <x:c r="A75" s="22" t="str">
        <x:v>O01-TC02</x:v>
      </x:c>
      <x:c r="B75" s="22" t="str">
        <x:v>O01</x:v>
      </x:c>
      <x:c r="C75" s="22" t="str">
        <x:v>Negative</x:v>
      </x:c>
      <x:c r="D75" s="22" t="str">
        <x:v>User thường mở audit / scan secret patterns</x:v>
      </x:c>
      <x:c r="E75" s="22" t="str">
        <x:v>Bị chặn và không leak secrets.</x:v>
      </x:c>
      <x:c r="F75" s="22" t="str">
        <x:v>Thắng</x:v>
      </x:c>
      <x:c r="G75" s="22" t="str">
        <x:v>Admin Web</x:v>
      </x:c>
      <x:c r="H75" s="22" t="str">
        <x:v>Not Run</x:v>
      </x:c>
      <x:c r="I75" s="22" t="str"/>
      <x:c r="J75" s="22" t="str"/>
      <x:c r="K75" s="22" t="str"/>
    </x:row>
    <x:row r="76" ht="29" customHeight="1">
      <x:c r="A76" s="32" t="str">
        <x:v>O02-TC01</x:v>
      </x:c>
      <x:c r="B76" s="32" t="str">
        <x:v>O02</x:v>
      </x:c>
      <x:c r="C76" s="32" t="str">
        <x:v>Happy</x:v>
      </x:c>
      <x:c r="D76" s="32" t="str">
        <x:v>Gây timeout fixture rồi truy vấn scan</x:v>
      </x:c>
      <x:c r="E76" s="32" t="str">
        <x:v>Timeline và terminal outcome hiện đúng.</x:v>
      </x:c>
      <x:c r="F76" s="32" t="str">
        <x:v>Thắng</x:v>
      </x:c>
      <x:c r="G76" s="32" t="str">
        <x:v>Admin Web</x:v>
      </x:c>
      <x:c r="H76" s="32" t="str">
        <x:v>Not Run</x:v>
      </x:c>
      <x:c r="I76" s="32" t="str"/>
      <x:c r="J76" s="32" t="str"/>
      <x:c r="K76" s="32" t="str"/>
    </x:row>
    <x:row r="77" ht="29" customHeight="1">
      <x:c r="A77" s="22" t="str">
        <x:v>O02-TC02</x:v>
      </x:c>
      <x:c r="B77" s="22" t="str">
        <x:v>O02</x:v>
      </x:c>
      <x:c r="C77" s="22" t="str">
        <x:v>Negative</x:v>
      </x:c>
      <x:c r="D77" s="22" t="str">
        <x:v>User non-admin mở page</x:v>
      </x:c>
      <x:c r="E77" s="22" t="str">
        <x:v>403; không leak.</x:v>
      </x:c>
      <x:c r="F77" s="22" t="str">
        <x:v>Thắng</x:v>
      </x:c>
      <x:c r="G77" s="22" t="str">
        <x:v>Admin Web</x:v>
      </x:c>
      <x:c r="H77" s="22" t="str">
        <x:v>Not Run</x:v>
      </x:c>
      <x:c r="I77" s="22" t="str"/>
      <x:c r="J77" s="22" t="str"/>
      <x:c r="K77" s="22" t="str"/>
    </x:row>
  </x:sheetData>
  <x:mergeCells>
    <x:mergeCell ref="A1:K1"/>
    <x:mergeCell ref="A2:K2"/>
  </x:mergeCells>
  <x:conditionalFormatting sqref="H5:H77">
    <x:cfRule type="expression" dxfId="112" priority="1">
      <x:formula>H5="Done"</x:formula>
    </x:cfRule>
    <x:cfRule type="expression" dxfId="113" priority="2">
      <x:formula>H5="PASS"</x:formula>
    </x:cfRule>
    <x:cfRule type="expression" dxfId="114" priority="3">
      <x:formula>H5="G5"</x:formula>
    </x:cfRule>
    <x:cfRule type="expression" dxfId="115" priority="4">
      <x:formula>H5="Blocked"</x:formula>
    </x:cfRule>
    <x:cfRule type="expression" dxfId="116" priority="5">
      <x:formula>H5="FAIL"</x:formula>
    </x:cfRule>
    <x:cfRule type="expression" dxfId="117" priority="6">
      <x:formula>H5="Not Started"</x:formula>
    </x:cfRule>
    <x:cfRule type="expression" dxfId="118" priority="7">
      <x:formula>H5="In Progress"</x:formula>
    </x:cfRule>
    <x:cfRule type="expression" dxfId="119" priority="8">
      <x:formula>H5="Doing"</x:formula>
    </x:cfRule>
  </x:conditionalFormatting>
  <x:dataValidations count="1">
    <x:dataValidation type="list" sqref="H5:H77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4" hidden="0" customWidth="1"/>
    <x:col min="6" max="6" width="70" hidden="0" customWidth="1"/>
    <x:col min="7" max="7" width="42" hidden="0" customWidth="1"/>
    <x:col min="8" max="8" width="16" hidden="0" customWidth="1"/>
    <x:col min="9" max="9" width="13" hidden="0" customWidth="1"/>
    <x:col min="10" max="10" width="27" hidden="0" customWidth="1"/>
    <x:col min="11" max="11" width="29" hidden="0" customWidth="1"/>
  </x:cols>
  <x:sheetData>
    <x:row r="1" ht="35" customHeight="1">
      <x:c r="A1" s="4" t="str">
        <x:v>SHARED TECHNICAL CAPABILITIES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0" t="str">
        <x:v>Mỗi enabler chỉ có MỘT record để không nhân effort khi nhiều full-flow tasks cùng phụ thuộc.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Enabler ID</x:v>
      </x:c>
      <x:c r="B4" s="17" t="str">
        <x:v>Shared Capability</x:v>
      </x:c>
      <x:c r="C4" s="17" t="str">
        <x:v>Technical Owner</x:v>
      </x:c>
      <x:c r="D4" s="17" t="str">
        <x:v>Est. SP</x:v>
      </x:c>
      <x:c r="E4" s="17" t="str">
        <x:v>Target Weeks</x:v>
      </x:c>
      <x:c r="F4" s="17" t="str">
        <x:v>Scope / Definition</x:v>
      </x:c>
      <x:c r="G4" s="17" t="str">
        <x:v>Supported flows</x:v>
      </x:c>
      <x:c r="H4" s="17" t="str">
        <x:v>Status</x:v>
      </x:c>
      <x:c r="I4" s="17" t="str">
        <x:v>Gate</x:v>
      </x:c>
      <x:c r="J4" s="17" t="str">
        <x:v>Blocker</x:v>
      </x:c>
      <x:c r="K4" s="17" t="str">
        <x:v>Evidence URL</x:v>
      </x:c>
    </x:row>
    <x:row r="5" ht="29" customHeight="1">
      <x:c r="A5" s="24" t="str">
        <x:v>E-CORE</x:v>
      </x:c>
      <x:c r="B5" s="24" t="str">
        <x:v>Scan Orchestrator + Risk Core</x:v>
      </x:c>
      <x:c r="C5" s="24" t="str">
        <x:v>Kiên</x:v>
      </x:c>
      <x:c r="D5" s="24" t="n">
        <x:v>13</x:v>
      </x:c>
      <x:c r="E5" s="24" t="str">
        <x:v>W10–W12</x:v>
      </x:c>
      <x:c r="F5" s="24" t="str">
        <x:v>Scan lifecycle / outbox / event dedupe / risk composer / completion barrier; tests with fake/real bus</x:v>
      </x:c>
      <x:c r="G5" s="24" t="str">
        <x:v>S01,S02,S03,S04,S05,R01</x:v>
      </x:c>
      <x:c r="H5" s="24" t="str">
        <x:v>To Verify</x:v>
      </x:c>
      <x:c r="I5" s="24" t="str">
        <x:v>Unverified</x:v>
      </x:c>
      <x:c r="J5" s="24" t="str"/>
      <x:c r="K5" s="24" t="str"/>
    </x:row>
    <x:row r="6" ht="29" customHeight="1">
      <x:c r="A6" s="26" t="str">
        <x:v>E-RUNTIME</x:v>
      </x:c>
      <x:c r="B6" s="26" t="str">
        <x:v>Runtime / CI / Staging / Security</x:v>
      </x:c>
      <x:c r="C6" s="26" t="str">
        <x:v>Khải</x:v>
      </x:c>
      <x:c r="D6" s="26" t="n">
        <x:v>17</x:v>
      </x:c>
      <x:c r="E6" s="26" t="str">
        <x:v>W10–W13</x:v>
      </x:c>
      <x:c r="F6" s="26" t="str">
        <x:v>PostgreSQL/Redis/RabbitMQ/MinIO, migrations, readiness, deploy rollback, SSRF/secret gates</x:v>
      </x:c>
      <x:c r="G6" s="26" t="str">
        <x:v>ALL</x:v>
      </x:c>
      <x:c r="H6" s="26" t="str">
        <x:v>To Verify</x:v>
      </x:c>
      <x:c r="I6" s="26" t="str">
        <x:v>Unverified</x:v>
      </x:c>
      <x:c r="J6" s="26" t="str"/>
      <x:c r="K6" s="26" t="str"/>
    </x:row>
    <x:row r="7" ht="29" customHeight="1">
      <x:c r="A7" s="24" t="str">
        <x:v>E-AI</x:v>
      </x:c>
      <x:c r="B7" s="24" t="str">
        <x:v>Async AI Worker</x:v>
      </x:c>
      <x:c r="C7" s="24" t="str">
        <x:v>Thắng</x:v>
      </x:c>
      <x:c r="D7" s="24" t="n">
        <x:v>8</x:v>
      </x:c>
      <x:c r="E7" s="24" t="str">
        <x:v>W11–W12</x:v>
      </x:c>
      <x:c r="F7" s="24" t="str">
        <x:v>AMQP AiTask → AiPrediction, model/provider adapter, timeout/failure fixtures; no direct core DB</x:v>
      </x:c>
      <x:c r="G7" s="24" t="str">
        <x:v>S02,S05</x:v>
      </x:c>
      <x:c r="H7" s="24" t="str">
        <x:v>To Verify</x:v>
      </x:c>
      <x:c r="I7" s="24" t="str">
        <x:v>Unverified</x:v>
      </x:c>
      <x:c r="J7" s="24" t="str"/>
      <x:c r="K7" s="24" t="str"/>
    </x:row>
    <x:row r="8" ht="29" customHeight="1">
      <x:c r="A8" s="26" t="str">
        <x:v>E-IDENTITY</x:v>
      </x:c>
      <x:c r="B8" s="26" t="str">
        <x:v>Identity Delivery + Community/Audit Core</x:v>
      </x:c>
      <x:c r="C8" s="26" t="str">
        <x:v>Hùng</x:v>
      </x:c>
      <x:c r="D8" s="26" t="n">
        <x:v>14</x:v>
      </x:c>
      <x:c r="E8" s="26" t="str">
        <x:v>W10–W12</x:v>
      </x:c>
      <x:c r="F8" s="26" t="str">
        <x:v>Reuse W09 Auth/OTP contracts; session/API integration, report/moderation data, notification/audit backend</x:v>
      </x:c>
      <x:c r="G8" s="26" t="str">
        <x:v>A01–A08,C01,C03,N01,O01</x:v>
      </x:c>
      <x:c r="H8" s="26" t="str">
        <x:v>To Verify</x:v>
      </x:c>
      <x:c r="I8" s="26" t="str">
        <x:v>Unverified</x:v>
      </x:c>
      <x:c r="J8" s="26" t="str"/>
      <x:c r="K8" s="26" t="str"/>
    </x:row>
  </x:sheetData>
  <x:mergeCells>
    <x:mergeCell ref="A1:K1"/>
    <x:mergeCell ref="A2:K2"/>
  </x:mergeCells>
  <x:conditionalFormatting sqref="H5:H8">
    <x:cfRule type="expression" dxfId="120" priority="1">
      <x:formula>H5="Done"</x:formula>
    </x:cfRule>
    <x:cfRule type="expression" dxfId="121" priority="2">
      <x:formula>H5="PASS"</x:formula>
    </x:cfRule>
    <x:cfRule type="expression" dxfId="122" priority="3">
      <x:formula>H5="G5"</x:formula>
    </x:cfRule>
    <x:cfRule type="expression" dxfId="123" priority="4">
      <x:formula>H5="Blocked"</x:formula>
    </x:cfRule>
    <x:cfRule type="expression" dxfId="124" priority="5">
      <x:formula>H5="FAIL"</x:formula>
    </x:cfRule>
    <x:cfRule type="expression" dxfId="125" priority="6">
      <x:formula>H5="Not Started"</x:formula>
    </x:cfRule>
    <x:cfRule type="expression" dxfId="126" priority="7">
      <x:formula>H5="In Progress"</x:formula>
    </x:cfRule>
    <x:cfRule type="expression" dxfId="127" priority="8">
      <x:formula>H5="Doing"</x:formula>
    </x:cfRule>
  </x:conditionalFormatting>
  <x:dataValidations count="2">
    <x:dataValidation type="list" sqref="H5:H8">
      <x:formula1>"To Verify,Planned,In Progress,Blocked,Done"</x:formula1>
    </x:dataValidation>
    <x:dataValidation type="list" sqref="I5:I8">
      <x:formula1>"Unverified,G0,G1,G2,G3,G4,G5"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68" hidden="0" customWidth="1"/>
    <x:col min="4" max="4" width="71" hidden="0" customWidth="1"/>
    <x:col min="5" max="5" width="18" hidden="0" customWidth="1"/>
    <x:col min="6" max="6" width="18" hidden="0" customWidth="1"/>
    <x:col min="7" max="7" width="28" hidden="0" customWidth="1"/>
    <x:col min="8" max="8" width="40" hidden="0" customWidth="1"/>
  </x:cols>
  <x:sheetData>
    <x:row r="1" ht="35" customHeight="1">
      <x:c r="A1" s="4" t="str">
        <x:v>APPROVED RELEASE TRAIN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Giữ nguyên mốc release từ V2.1; chỉ điều chỉnh cách lập backlog. 30/10 không được tự dời/giảm scope.</x:v>
      </x:c>
      <x:c r="B2" s="10"/>
      <x:c r="C2" s="10"/>
      <x:c r="D2" s="10"/>
      <x:c r="E2" s="10"/>
      <x:c r="F2" s="10"/>
      <x:c r="G2" s="10"/>
      <x:c r="H2" s="10"/>
    </x:row>
    <x:row r="4" ht="29" customHeight="1">
      <x:c r="A4" s="17" t="str">
        <x:v>Version / Gate</x:v>
      </x:c>
      <x:c r="B4" s="17" t="str">
        <x:v>Calendar Date</x:v>
      </x:c>
      <x:c r="C4" s="17" t="str">
        <x:v>Objective</x:v>
      </x:c>
      <x:c r="D4" s="17" t="str">
        <x:v>Go/No-Go Acceptance Gate</x:v>
      </x:c>
      <x:c r="E4" s="17" t="str">
        <x:v>Status</x:v>
      </x:c>
      <x:c r="F4" s="17" t="str">
        <x:v>Owner</x:v>
      </x:c>
      <x:c r="G4" s="17" t="str">
        <x:v>Evidence URL</x:v>
      </x:c>
      <x:c r="H4" s="17" t="str">
        <x:v>Decision / Risk</x:v>
      </x:c>
    </x:row>
    <x:row r="5" ht="29" customHeight="1">
      <x:c r="A5" s="24" t="str">
        <x:v>FEATURE FREEZE</x:v>
      </x:c>
      <x:c r="B5" s="34" t="n">
        <x:v>46321</x:v>
      </x:c>
      <x:c r="C5" s="24" t="str">
        <x:v>Không thêm P0 mới</x:v>
      </x:c>
      <x:c r="D5" s="24" t="str">
        <x:v>MVP feature code frozen; critical blocker triage</x:v>
      </x:c>
      <x:c r="E5" s="24" t="str">
        <x:v>Not Verified</x:v>
      </x:c>
      <x:c r="F5" s="24" t="str">
        <x:v>PM/All</x:v>
      </x:c>
      <x:c r="G5" s="24" t="str"/>
      <x:c r="H5" s="24" t="str"/>
    </x:row>
    <x:row r="6" ht="29" customHeight="1">
      <x:c r="A6" s="26" t="str">
        <x:v>RELEASE CANDIDATE</x:v>
      </x:c>
      <x:c r="B6" s="35" t="n">
        <x:v>46324</x:v>
      </x:c>
      <x:c r="C6" s="26" t="str">
        <x:v>RC v0.1.0</x:v>
      </x:c>
      <x:c r="D6" s="26" t="str">
        <x:v>Security/regression/migration/staging + rollback rehearsal PASS</x:v>
      </x:c>
      <x:c r="E6" s="26" t="str">
        <x:v>Not Verified</x:v>
      </x:c>
      <x:c r="F6" s="26" t="str">
        <x:v>Khải/All</x:v>
      </x:c>
      <x:c r="G6" s="26" t="str"/>
      <x:c r="H6" s="26" t="str"/>
    </x:row>
    <x:row r="7" ht="29" customHeight="1">
      <x:c r="A7" s="24" t="str">
        <x:v>v0.1.0</x:v>
      </x:c>
      <x:c r="B7" s="34" t="n">
        <x:v>46325</x:v>
      </x:c>
      <x:c r="C7" s="24" t="str">
        <x:v>MVP basic / breadth; M01–M14 minimum working capability on staging</x:v>
      </x:c>
      <x:c r="D7" s="24" t="str">
        <x:v>RC 29/10; feature freeze 26/10; G4 peer tests + critical NFR pass</x:v>
      </x:c>
      <x:c r="E7" s="24" t="str">
        <x:v>Not Verified</x:v>
      </x:c>
      <x:c r="F7" s="24" t="str">
        <x:v>Leader / All</x:v>
      </x:c>
      <x:c r="G7" s="24" t="str"/>
      <x:c r="H7" s="24" t="str"/>
    </x:row>
    <x:row r="8" ht="29" customHeight="1">
      <x:c r="A8" s="26" t="str">
        <x:v>v0.2.0</x:v>
      </x:c>
      <x:c r="B8" s="35" t="n">
        <x:v>46346</x:v>
      </x:c>
      <x:c r="C8" s="26" t="str">
        <x:v>Depth Expansion 1</x:v>
      </x:c>
      <x:c r="D8" s="26" t="str">
        <x:v>Expanded account/security, admin, follow-up, URL/evidence</x:v>
      </x:c>
      <x:c r="E8" s="26" t="str">
        <x:v>Not Verified</x:v>
      </x:c>
      <x:c r="F8" s="26" t="str">
        <x:v>Leader / All</x:v>
      </x:c>
      <x:c r="G8" s="26" t="str"/>
      <x:c r="H8" s="26" t="str"/>
    </x:row>
    <x:row r="9" ht="29" customHeight="1">
      <x:c r="A9" s="24" t="str">
        <x:v>v0.3.0</x:v>
      </x:c>
      <x:c r="B9" s="34" t="n">
        <x:v>46367</x:v>
      </x:c>
      <x:c r="C9" s="24" t="str">
        <x:v>Depth Expansion 2</x:v>
      </x:c>
      <x:c r="D9" s="24" t="str">
        <x:v>Rule/reputation/UX enhancements + reliability</x:v>
      </x:c>
      <x:c r="E9" s="24" t="str">
        <x:v>Not Verified</x:v>
      </x:c>
      <x:c r="F9" s="24" t="str">
        <x:v>Leader / All</x:v>
      </x:c>
      <x:c r="G9" s="24" t="str"/>
      <x:c r="H9" s="24" t="str"/>
    </x:row>
    <x:row r="10" ht="29" customHeight="1">
      <x:c r="A10" s="26" t="str">
        <x:v>v0.4.0</x:v>
      </x:c>
      <x:c r="B10" s="35" t="n">
        <x:v>46395</x:v>
      </x:c>
      <x:c r="C10" s="26" t="str">
        <x:v>Beta candidate</x:v>
      </x:c>
      <x:c r="D10" s="26" t="str">
        <x:v>Security/quality readiness + regression</x:v>
      </x:c>
      <x:c r="E10" s="26" t="str">
        <x:v>Not Verified</x:v>
      </x:c>
      <x:c r="F10" s="26" t="str">
        <x:v>Leader / All</x:v>
      </x:c>
      <x:c r="G10" s="26" t="str"/>
      <x:c r="H10" s="26" t="str"/>
    </x:row>
    <x:row r="11" ht="29" customHeight="1">
      <x:c r="A11" s="24" t="str">
        <x:v>v0.5.0-beta.1</x:v>
      </x:c>
      <x:c r="B11" s="34" t="n">
        <x:v>46409</x:v>
      </x:c>
      <x:c r="C11" s="24" t="str">
        <x:v>Public beta</x:v>
      </x:c>
      <x:c r="D11" s="24" t="str">
        <x:v>Approved public beta checklist</x:v>
      </x:c>
      <x:c r="E11" s="24" t="str">
        <x:v>Not Verified</x:v>
      </x:c>
      <x:c r="F11" s="24" t="str">
        <x:v>Leader / All</x:v>
      </x:c>
      <x:c r="G11" s="24" t="str"/>
      <x:c r="H11" s="24" t="str"/>
    </x:row>
    <x:row r="12" ht="29" customHeight="1">
      <x:c r="A12" s="26" t="str">
        <x:v>DATA-FREEZE</x:v>
      </x:c>
      <x:c r="B12" s="35" t="n">
        <x:v>46477</x:v>
      </x:c>
      <x:c r="C12" s="26" t="str">
        <x:v>Data/feedback freeze</x:v>
      </x:c>
      <x:c r="D12" s="26" t="str">
        <x:v>Reproducible research dataset</x:v>
      </x:c>
      <x:c r="E12" s="26" t="str">
        <x:v>Not Verified</x:v>
      </x:c>
      <x:c r="F12" s="26" t="str">
        <x:v>Leader / All</x:v>
      </x:c>
      <x:c r="G12" s="26" t="str"/>
      <x:c r="H12" s="26" t="str"/>
    </x:row>
    <x:row r="13" ht="29" customHeight="1">
      <x:c r="A13" s="24" t="str">
        <x:v>v1.0.0-rc1</x:v>
      </x:c>
      <x:c r="B13" s="34" t="n">
        <x:v>46535</x:v>
      </x:c>
      <x:c r="C13" s="24" t="str">
        <x:v>Final RC</x:v>
      </x:c>
      <x:c r="D13" s="24" t="str">
        <x:v>Final regression/security/docs</x:v>
      </x:c>
      <x:c r="E13" s="24" t="str">
        <x:v>Not Verified</x:v>
      </x:c>
      <x:c r="F13" s="24" t="str">
        <x:v>Leader / All</x:v>
      </x:c>
      <x:c r="G13" s="24" t="str"/>
      <x:c r="H13" s="24" t="str"/>
    </x:row>
    <x:row r="14" ht="29" customHeight="1">
      <x:c r="A14" s="26" t="str">
        <x:v>v1.0.0</x:v>
      </x:c>
      <x:c r="B14" s="35" t="n">
        <x:v>46542</x:v>
      </x:c>
      <x:c r="C14" s="26" t="str">
        <x:v>Final product baseline</x:v>
      </x:c>
      <x:c r="D14" s="26" t="str">
        <x:v>Final project handoff</x:v>
      </x:c>
      <x:c r="E14" s="26" t="str">
        <x:v>Not Verified</x:v>
      </x:c>
      <x:c r="F14" s="26" t="str">
        <x:v>Leader / All</x:v>
      </x:c>
      <x:c r="G14" s="26" t="str"/>
      <x:c r="H14" s="26" t="str"/>
    </x:row>
  </x:sheetData>
  <x:mergeCells>
    <x:mergeCell ref="A1:H1"/>
    <x:mergeCell ref="A2:H2"/>
  </x:mergeCells>
  <x:dataValidations count="1">
    <x:dataValidation type="list" sqref="E5:E14">
      <x:formula1>"Not Verified,Ready,GO,NO-GO,Released,At Risk"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74" hidden="0" customWidth="1"/>
    <x:col min="5" max="5" width="54" hidden="0" customWidth="1"/>
    <x:col min="6" max="6" width="16" hidden="0" customWidth="1"/>
    <x:col min="7" max="7" width="34" hidden="0" customWidth="1"/>
    <x:col min="8" max="8" width="28" hidden="0" customWidth="1"/>
  </x:cols>
  <x:sheetData>
    <x:row r="1" ht="35" customHeight="1">
      <x:c r="A1" s="4" t="str">
        <x:v>WEEKLY DELIVERY / EXIT GATES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Kế hoạch theo tuần; kiểm tra trọng tâm của Leader vào thứ Năm và thứ Bảy.</x:v>
      </x:c>
      <x:c r="B2" s="10"/>
      <x:c r="C2" s="10"/>
      <x:c r="D2" s="10"/>
      <x:c r="E2" s="10"/>
      <x:c r="F2" s="10"/>
      <x:c r="G2" s="10"/>
      <x:c r="H2" s="10"/>
    </x:row>
    <x:row r="4" ht="29" customHeight="1">
      <x:c r="A4" s="17" t="str">
        <x:v>Week</x:v>
      </x:c>
      <x:c r="B4" s="17" t="str">
        <x:v>Start date</x:v>
      </x:c>
      <x:c r="C4" s="17" t="str">
        <x:v>End date</x:v>
      </x:c>
      <x:c r="D4" s="17" t="str">
        <x:v>Primary Outcome</x:v>
      </x:c>
      <x:c r="E4" s="17" t="str">
        <x:v>PM checkpoint / Exit</x:v>
      </x:c>
      <x:c r="F4" s="17" t="str">
        <x:v>Status</x:v>
      </x:c>
      <x:c r="G4" s="17" t="str">
        <x:v>Blocker</x:v>
      </x:c>
      <x:c r="H4" s="17" t="str">
        <x:v>Evidence URL</x:v>
      </x:c>
    </x:row>
    <x:row r="5" ht="29" customHeight="1">
      <x:c r="A5" s="24" t="str">
        <x:v>W10</x:v>
      </x:c>
      <x:c r="B5" s="34" t="n">
        <x:v>46301</x:v>
      </x:c>
      <x:c r="C5" s="34" t="n">
        <x:v>46307</x:v>
      </x:c>
      <x:c r="D5" s="24" t="str">
        <x:v>Confirm merged W09 baseline, slice contracts, bootstrap staging; do not claim full E2E</x:v>
      </x:c>
      <x:c r="E5" s="24" t="str">
        <x:v>Staging real queue roundtrip; acceptance of contracts</x:v>
      </x:c>
      <x:c r="F5" s="24" t="str">
        <x:v>To Verify</x:v>
      </x:c>
      <x:c r="G5" s="24" t="str"/>
      <x:c r="H5" s="24" t="str"/>
    </x:row>
    <x:row r="6" ht="29" customHeight="1">
      <x:c r="A6" s="26" t="str">
        <x:v>W11</x:v>
      </x:c>
      <x:c r="B6" s="35" t="n">
        <x:v>46308</x:v>
      </x:c>
      <x:c r="C6" s="35" t="n">
        <x:v>46314</x:v>
      </x:c>
      <x:c r="D6" s="26" t="str">
        <x:v>URL walking skeleton + local auth + base result; parallel text/entity/report skeleton</x:v>
      </x:c>
      <x:c r="E6" s="26" t="str">
        <x:v>URL E2E + local auth peer demo</x:v>
      </x:c>
      <x:c r="F6" s="26" t="str">
        <x:v>To Verify</x:v>
      </x:c>
      <x:c r="G6" s="26" t="str"/>
      <x:c r="H6" s="26" t="str"/>
    </x:row>
    <x:row r="7" ht="29" customHeight="1">
      <x:c r="A7" s="24" t="str">
        <x:v>W12</x:v>
      </x:c>
      <x:c r="B7" s="34" t="n">
        <x:v>46315</x:v>
      </x:c>
      <x:c r="C7" s="34" t="n">
        <x:v>46321</x:v>
      </x:c>
      <x:c r="D7" s="24" t="str">
        <x:v>Finish MVP breadth, verify all M01–M14 capability; feature freeze 26/10</x:v>
      </x:c>
      <x:c r="E7" s="24" t="str">
        <x:v>MVP P0 flows, freeze 26/10</x:v>
      </x:c>
      <x:c r="F7" s="24" t="str">
        <x:v>To Verify</x:v>
      </x:c>
      <x:c r="G7" s="24" t="str"/>
      <x:c r="H7" s="24" t="str"/>
    </x:row>
    <x:row r="8" ht="29" customHeight="1">
      <x:c r="A8" s="26" t="str">
        <x:v>W13</x:v>
      </x:c>
      <x:c r="B8" s="35" t="n">
        <x:v>46322</x:v>
      </x:c>
      <x:c r="C8" s="35" t="n">
        <x:v>46328</x:v>
      </x:c>
      <x:c r="D8" s="26" t="str">
        <x:v>No new features; RC 29/10; v0.1.0 release 30/10; verification / rollback</x:v>
      </x:c>
      <x:c r="E8" s="26" t="str">
        <x:v>RC 29/10, v0.1.0 30/10, no new features</x:v>
      </x:c>
      <x:c r="F8" s="26" t="str">
        <x:v>To Verify</x:v>
      </x:c>
      <x:c r="G8" s="26" t="str"/>
      <x:c r="H8" s="26" t="str"/>
    </x:row>
    <x:row r="9" ht="29" customHeight="1">
      <x:c r="A9" s="24" t="str">
        <x:v>W14</x:v>
      </x:c>
      <x:c r="B9" s="34" t="n">
        <x:v>46329</x:v>
      </x:c>
      <x:c r="C9" s="34" t="n">
        <x:v>46335</x:v>
      </x:c>
      <x:c r="D9" s="24" t="str">
        <x:v>Depth 1: account recovery/share/report status + source management</x:v>
      </x:c>
      <x:c r="E9" s="24" t="str">
        <x:v>Independent UAT + requirements trace</x:v>
      </x:c>
      <x:c r="F9" s="24" t="str">
        <x:v>To Verify</x:v>
      </x:c>
      <x:c r="G9" s="24" t="str"/>
      <x:c r="H9" s="24" t="str"/>
    </x:row>
    <x:row r="10" ht="29" customHeight="1">
      <x:c r="A10" s="26" t="str">
        <x:v>W15</x:v>
      </x:c>
      <x:c r="B10" s="35" t="n">
        <x:v>46336</x:v>
      </x:c>
      <x:c r="C10" s="35" t="n">
        <x:v>46342</x:v>
      </x:c>
      <x:c r="D10" s="26" t="str">
        <x:v>Depth 1: audit investigation/rule admin/notification center</x:v>
      </x:c>
      <x:c r="E10" s="26" t="str">
        <x:v>Independent UAT + requirements trace</x:v>
      </x:c>
      <x:c r="F10" s="26" t="str">
        <x:v>To Verify</x:v>
      </x:c>
      <x:c r="G10" s="26" t="str"/>
      <x:c r="H10" s="26" t="str"/>
    </x:row>
    <x:row r="11" ht="29" customHeight="1">
      <x:c r="A11" s="24" t="str">
        <x:v>W16</x:v>
      </x:c>
      <x:c r="B11" s="34" t="n">
        <x:v>46343</x:v>
      </x:c>
      <x:c r="C11" s="34" t="n">
        <x:v>46349</x:v>
      </x:c>
      <x:c r="D11" s="24" t="str">
        <x:v>20/11 v0.2.0 and depth hardening; freeze and regression</x:v>
      </x:c>
      <x:c r="E11" s="24" t="str">
        <x:v>v0.2.0 20/11 gate</x:v>
      </x:c>
      <x:c r="F11" s="24" t="str">
        <x:v>To Verify</x:v>
      </x:c>
      <x:c r="G11" s="24" t="str"/>
      <x:c r="H11" s="24" t="str"/>
    </x:row>
    <x:row r="12" ht="29" customHeight="1">
      <x:c r="A12" s="26" t="str">
        <x:v>W17</x:v>
      </x:c>
      <x:c r="B12" s="35" t="n">
        <x:v>46350</x:v>
      </x:c>
      <x:c r="C12" s="35" t="n">
        <x:v>46356</x:v>
      </x:c>
      <x:c r="D12" s="26" t="str">
        <x:v>Depth 2: security/UX/rule refinement</x:v>
      </x:c>
      <x:c r="E12" s="26" t="str">
        <x:v>Independent UAT + requirements trace</x:v>
      </x:c>
      <x:c r="F12" s="26" t="str">
        <x:v>To Verify</x:v>
      </x:c>
      <x:c r="G12" s="26" t="str"/>
      <x:c r="H12" s="26" t="str"/>
    </x:row>
    <x:row r="13" ht="29" customHeight="1">
      <x:c r="A13" s="24" t="str">
        <x:v>W18</x:v>
      </x:c>
      <x:c r="B13" s="34" t="n">
        <x:v>46357</x:v>
      </x:c>
      <x:c r="C13" s="34" t="n">
        <x:v>46363</x:v>
      </x:c>
      <x:c r="D13" s="24" t="str">
        <x:v>Depth 2 reliability / evaluator / release prep</x:v>
      </x:c>
      <x:c r="E13" s="24" t="str">
        <x:v>Independent UAT + requirements trace</x:v>
      </x:c>
      <x:c r="F13" s="24" t="str">
        <x:v>To Verify</x:v>
      </x:c>
      <x:c r="G13" s="24" t="str"/>
      <x:c r="H13" s="24" t="str"/>
    </x:row>
    <x:row r="14" ht="29" customHeight="1">
      <x:c r="A14" s="26" t="str">
        <x:v>W19</x:v>
      </x:c>
      <x:c r="B14" s="35" t="n">
        <x:v>46364</x:v>
      </x:c>
      <x:c r="C14" s="35" t="n">
        <x:v>46370</x:v>
      </x:c>
      <x:c r="D14" s="26" t="str">
        <x:v>11/12 v0.3.0 and regression</x:v>
      </x:c>
      <x:c r="E14" s="26" t="str">
        <x:v>v0.3.0 11/12 gate</x:v>
      </x:c>
      <x:c r="F14" s="26" t="str">
        <x:v>To Verify</x:v>
      </x:c>
      <x:c r="G14" s="26" t="str"/>
      <x:c r="H14" s="26" t="str"/>
    </x:row>
  </x:sheetData>
  <x:mergeCells>
    <x:mergeCell ref="A1:H1"/>
    <x:mergeCell ref="A2:H2"/>
  </x:mergeCells>
  <x:dataValidations count="1">
    <x:dataValidation type="list" sqref="F5:F14">
      <x:formula1>"To Verify,At Risk,In Progress,PASS,FAIL"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91" hidden="0" customWidth="1"/>
    <x:col min="4" max="4" width="16" hidden="0" customWidth="1"/>
    <x:col min="5" max="5" width="18" hidden="0" customWidth="1"/>
    <x:col min="6" max="6" width="31" hidden="0" customWidth="1"/>
    <x:col min="7" max="7" width="43" hidden="0" customWidth="1"/>
  </x:cols>
  <x:sheetData>
    <x:row r="1" ht="35" customHeight="1">
      <x:c r="A1" s="4" t="str">
        <x:v>v0.1.0 — 30 OCT RELEASE CHECKLIST</x:v>
      </x:c>
      <x:c r="B1" s="4"/>
      <x:c r="C1" s="4"/>
      <x:c r="D1" s="4"/>
      <x:c r="E1" s="4"/>
      <x:c r="F1" s="4"/>
      <x:c r="G1" s="4"/>
    </x:row>
    <x:row r="2" ht="27" customHeight="1">
      <x:c r="A2" s="10" t="str">
        <x:v>Approved M01–M14 breadth basic; CHƯA KIỂM CHỨNG mặc định. Khi FAIL critical, release NO-GO hoặc phạm vi phải có quyết định chính thức.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Gate ID</x:v>
      </x:c>
      <x:c r="B4" s="17" t="str">
        <x:v>Coverage</x:v>
      </x:c>
      <x:c r="C4" s="17" t="str">
        <x:v>MVP Minimum Evidence</x:v>
      </x:c>
      <x:c r="D4" s="17" t="str">
        <x:v>Gate Owner</x:v>
      </x:c>
      <x:c r="E4" s="17" t="str">
        <x:v>Result</x:v>
      </x:c>
      <x:c r="F4" s="17" t="str">
        <x:v>Evidence URL</x:v>
      </x:c>
      <x:c r="G4" s="17" t="str">
        <x:v>Issue / Decision</x:v>
      </x:c>
    </x:row>
    <x:row r="5" ht="29" customHeight="1">
      <x:c r="A5" s="24" t="str">
        <x:v>RL-01</x:v>
      </x:c>
      <x:c r="B5" s="24" t="str">
        <x:v>M01</x:v>
      </x:c>
      <x:c r="C5" s="24" t="str">
        <x:v>Register/verify, login/refresh/logout, Google basic, guest/RBAC/quota</x:v>
      </x:c>
      <x:c r="D5" s="24" t="str">
        <x:v>Hùng</x:v>
      </x:c>
      <x:c r="E5" s="24" t="str">
        <x:v>Not Verified</x:v>
      </x:c>
      <x:c r="F5" s="24" t="str"/>
      <x:c r="G5" s="24" t="str"/>
    </x:row>
    <x:row r="6" ht="29" customHeight="1">
      <x:c r="A6" s="26" t="str">
        <x:v>RL-02</x:v>
      </x:c>
      <x:c r="B6" s="26" t="str">
        <x:v>M02</x:v>
      </x:c>
      <x:c r="C6" s="26" t="str">
        <x:v>URL scanner real worker + SSRF guard / basic redirect,TLS signals</x:v>
      </x:c>
      <x:c r="D6" s="26" t="str">
        <x:v>Khải</x:v>
      </x:c>
      <x:c r="E6" s="26" t="str">
        <x:v>Not Verified</x:v>
      </x:c>
      <x:c r="F6" s="26" t="str"/>
      <x:c r="G6" s="26" t="str"/>
    </x:row>
    <x:row r="7" ht="29" customHeight="1">
      <x:c r="A7" s="24" t="str">
        <x:v>RL-03</x:v>
      </x:c>
      <x:c r="B7" s="24" t="str">
        <x:v>M03</x:v>
      </x:c>
      <x:c r="C7" s="24" t="str">
        <x:v>Text MESSAGE/TRANSACTION_POST worker + indicators</x:v>
      </x:c>
      <x:c r="D7" s="24" t="str">
        <x:v>Thắng</x:v>
      </x:c>
      <x:c r="E7" s="24" t="str">
        <x:v>Not Verified</x:v>
      </x:c>
      <x:c r="F7" s="24" t="str"/>
      <x:c r="G7" s="24" t="str"/>
    </x:row>
    <x:row r="8" ht="29" customHeight="1">
      <x:c r="A8" s="26" t="str">
        <x:v>RL-04</x:v>
      </x:c>
      <x:c r="B8" s="26" t="str">
        <x:v>M04</x:v>
      </x:c>
      <x:c r="C8" s="26" t="str">
        <x:v>PHONE/BANK normalization, reputation and NO_DATA</x:v>
      </x:c>
      <x:c r="D8" s="26" t="str">
        <x:v>Kiên</x:v>
      </x:c>
      <x:c r="E8" s="26" t="str">
        <x:v>Not Verified</x:v>
      </x:c>
      <x:c r="F8" s="26" t="str"/>
      <x:c r="G8" s="26" t="str"/>
    </x:row>
    <x:row r="9" ht="29" customHeight="1">
      <x:c r="A9" s="24" t="str">
        <x:v>RL-05</x:v>
      </x:c>
      <x:c r="B9" s="24" t="str">
        <x:v>M05</x:v>
      </x:c>
      <x:c r="C9" s="24" t="str">
        <x:v>QR/VietQR decode + nested result or explicit degrade</x:v>
      </x:c>
      <x:c r="D9" s="24" t="str">
        <x:v>Thắng</x:v>
      </x:c>
      <x:c r="E9" s="24" t="str">
        <x:v>Not Verified</x:v>
      </x:c>
      <x:c r="F9" s="24" t="str"/>
      <x:c r="G9" s="24" t="str"/>
    </x:row>
    <x:row r="10" ht="29" customHeight="1">
      <x:c r="A10" s="26" t="str">
        <x:v>RL-06</x:v>
      </x:c>
      <x:c r="B10" s="26" t="str">
        <x:v>M06</x:v>
      </x:c>
      <x:c r="C10" s="26" t="str">
        <x:v>Result detail, basic history and export</x:v>
      </x:c>
      <x:c r="D10" s="26" t="str">
        <x:v>Thắng</x:v>
      </x:c>
      <x:c r="E10" s="26" t="str">
        <x:v>Not Verified</x:v>
      </x:c>
      <x:c r="F10" s="26" t="str"/>
      <x:c r="G10" s="26" t="str"/>
    </x:row>
    <x:row r="11" ht="29" customHeight="1">
      <x:c r="A11" s="24" t="str">
        <x:v>RL-07</x:v>
      </x:c>
      <x:c r="B11" s="24" t="str">
        <x:v>M07</x:v>
      </x:c>
      <x:c r="C11" s="24" t="str">
        <x:v>Report submit → moderator decision → verified bridge</x:v>
      </x:c>
      <x:c r="D11" s="24" t="str">
        <x:v>Hùng</x:v>
      </x:c>
      <x:c r="E11" s="24" t="str">
        <x:v>Not Verified</x:v>
      </x:c>
      <x:c r="F11" s="24" t="str"/>
      <x:c r="G11" s="24" t="str"/>
    </x:row>
    <x:row r="12" ht="29" customHeight="1">
      <x:c r="A12" s="26" t="str">
        <x:v>RL-08</x:v>
      </x:c>
      <x:c r="B12" s="26" t="str">
        <x:v>M08</x:v>
      </x:c>
      <x:c r="C12" s="26" t="str">
        <x:v>Threat registry + source list/import + ThreatQuery</x:v>
      </x:c>
      <x:c r="D12" s="26" t="str">
        <x:v>Kiên</x:v>
      </x:c>
      <x:c r="E12" s="26" t="str">
        <x:v>Not Verified</x:v>
      </x:c>
      <x:c r="F12" s="26" t="str"/>
      <x:c r="G12" s="26" t="str"/>
    </x:row>
    <x:row r="13" ht="29" customHeight="1">
      <x:c r="A13" s="24" t="str">
        <x:v>RL-09</x:v>
      </x:c>
      <x:c r="B13" s="24" t="str">
        <x:v>M09</x:v>
      </x:c>
      <x:c r="C13" s="24" t="str">
        <x:v>Rule repo seeded/versioned + deterministic fusion/result</x:v>
      </x:c>
      <x:c r="D13" s="24" t="str">
        <x:v>Kiên</x:v>
      </x:c>
      <x:c r="E13" s="24" t="str">
        <x:v>Not Verified</x:v>
      </x:c>
      <x:c r="F13" s="24" t="str"/>
      <x:c r="G13" s="24" t="str"/>
    </x:row>
    <x:row r="14" ht="29" customHeight="1">
      <x:c r="A14" s="26" t="str">
        <x:v>RL-10</x:v>
      </x:c>
      <x:c r="B14" s="26" t="str">
        <x:v>M10</x:v>
      </x:c>
      <x:c r="C14" s="26" t="str">
        <x:v>At least one minimal notification delivery path</x:v>
      </x:c>
      <x:c r="D14" s="26" t="str">
        <x:v>Hùng</x:v>
      </x:c>
      <x:c r="E14" s="26" t="str">
        <x:v>Not Verified</x:v>
      </x:c>
      <x:c r="F14" s="26" t="str"/>
      <x:c r="G14" s="26" t="str"/>
    </x:row>
    <x:row r="15" ht="29" customHeight="1">
      <x:c r="A15" s="24" t="str">
        <x:v>RL-11</x:v>
      </x:c>
      <x:c r="B15" s="24" t="str">
        <x:v>M11</x:v>
      </x:c>
      <x:c r="C15" s="24" t="str">
        <x:v>Real AMQP AI Worker + basic provider/fixture, fail/timeout</x:v>
      </x:c>
      <x:c r="D15" s="24" t="str">
        <x:v>Thắng</x:v>
      </x:c>
      <x:c r="E15" s="24" t="str">
        <x:v>Not Verified</x:v>
      </x:c>
      <x:c r="F15" s="24" t="str"/>
      <x:c r="G15" s="24" t="str"/>
    </x:row>
    <x:row r="16" ht="29" customHeight="1">
      <x:c r="A16" s="26" t="str">
        <x:v>RL-12</x:v>
      </x:c>
      <x:c r="B16" s="26" t="str">
        <x:v>M12</x:v>
      </x:c>
      <x:c r="C16" s="26" t="str">
        <x:v>Scan lifecycle, queue, worker result, idempotency, nested/AI barrier</x:v>
      </x:c>
      <x:c r="D16" s="26" t="str">
        <x:v>Kiên</x:v>
      </x:c>
      <x:c r="E16" s="26" t="str">
        <x:v>Not Verified</x:v>
      </x:c>
      <x:c r="F16" s="26" t="str"/>
      <x:c r="G16" s="26" t="str"/>
    </x:row>
    <x:row r="17" ht="29" customHeight="1">
      <x:c r="A17" s="24" t="str">
        <x:v>RL-13</x:v>
      </x:c>
      <x:c r="B17" s="24" t="str">
        <x:v>M13</x:v>
      </x:c>
      <x:c r="C17" s="24" t="str">
        <x:v>Clean staging deploy with Postgres, Redis, RabbitMQ, MinIO + rollback</x:v>
      </x:c>
      <x:c r="D17" s="24" t="str">
        <x:v>Khải</x:v>
      </x:c>
      <x:c r="E17" s="24" t="str">
        <x:v>Not Verified</x:v>
      </x:c>
      <x:c r="F17" s="24" t="str"/>
      <x:c r="G17" s="24" t="str"/>
    </x:row>
    <x:row r="18" ht="29" customHeight="1">
      <x:c r="A18" s="26" t="str">
        <x:v>RL-14</x:v>
      </x:c>
      <x:c r="B18" s="26" t="str">
        <x:v>M14</x:v>
      </x:c>
      <x:c r="C18" s="26" t="str">
        <x:v>Basic audit correlation and redaction/read path</x:v>
      </x:c>
      <x:c r="D18" s="26" t="str">
        <x:v>Hùng</x:v>
      </x:c>
      <x:c r="E18" s="26" t="str">
        <x:v>Not Verified</x:v>
      </x:c>
      <x:c r="F18" s="26" t="str"/>
      <x:c r="G18" s="26" t="str"/>
    </x:row>
    <x:row r="19" ht="29" customHeight="1">
      <x:c r="A19" s="24" t="str">
        <x:v>RL-15</x:v>
      </x:c>
      <x:c r="B19" s="24" t="str">
        <x:v>CROSS</x:v>
      </x:c>
      <x:c r="C19" s="24" t="str">
        <x:v>Independent manual UAT / CI security &amp; smoke / go-no-go</x:v>
      </x:c>
      <x:c r="D19" s="24" t="str">
        <x:v>Leader</x:v>
      </x:c>
      <x:c r="E19" s="24" t="str">
        <x:v>Not Verified</x:v>
      </x:c>
      <x:c r="F19" s="24" t="str"/>
      <x:c r="G19" s="24" t="str"/>
    </x:row>
    <x:row r="20" ht="29" customHeight="1">
      <x:c r="A20" s="26" t="str">
        <x:v>RL-16</x:v>
      </x:c>
      <x:c r="B20" s="26" t="str">
        <x:v>PARITY</x:v>
      </x:c>
      <x:c r="C20" s="26" t="str">
        <x:v>Web/Mobile parity status separately; no silent exception</x:v>
      </x:c>
      <x:c r="D20" s="26" t="str">
        <x:v>All</x:v>
      </x:c>
      <x:c r="E20" s="26" t="str">
        <x:v>Not Verified</x:v>
      </x:c>
      <x:c r="F20" s="26" t="str"/>
      <x:c r="G20" s="26" t="str"/>
    </x:row>
  </x:sheetData>
  <x:mergeCells>
    <x:mergeCell ref="A1:G1"/>
    <x:mergeCell ref="A2:G2"/>
  </x:mergeCells>
  <x:conditionalFormatting sqref="E5:E20">
    <x:cfRule type="expression" dxfId="128" priority="1">
      <x:formula>E5="Done"</x:formula>
    </x:cfRule>
    <x:cfRule type="expression" dxfId="129" priority="2">
      <x:formula>E5="PASS"</x:formula>
    </x:cfRule>
    <x:cfRule type="expression" dxfId="130" priority="3">
      <x:formula>E5="G5"</x:formula>
    </x:cfRule>
    <x:cfRule type="expression" dxfId="131" priority="4">
      <x:formula>E5="Blocked"</x:formula>
    </x:cfRule>
    <x:cfRule type="expression" dxfId="132" priority="5">
      <x:formula>E5="FAIL"</x:formula>
    </x:cfRule>
    <x:cfRule type="expression" dxfId="133" priority="6">
      <x:formula>E5="Not Started"</x:formula>
    </x:cfRule>
    <x:cfRule type="expression" dxfId="134" priority="7">
      <x:formula>E5="In Progress"</x:formula>
    </x:cfRule>
    <x:cfRule type="expression" dxfId="135" priority="8">
      <x:formula>E5="Doing"</x:formula>
    </x:cfRule>
  </x:conditionalFormatting>
  <x:dataValidations count="1">
    <x:dataValidation type="list" sqref="E5:E20">
      <x:formula1>"Not Verified,PASS,FAIL,BLOCKED,Waiver Approved"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75" hidden="0" customWidth="1"/>
    <x:col min="4" max="4" width="19" hidden="0" customWidth="1"/>
    <x:col min="5" max="5" width="88" hidden="0" customWidth="1"/>
    <x:col min="6" max="6" width="16" hidden="0" customWidth="1"/>
    <x:col min="7" max="7" width="23" hidden="0" customWidth="1"/>
    <x:col min="8" max="8" width="38" hidden="0" customWidth="1"/>
  </x:cols>
  <x:sheetData>
    <x:row r="1" ht="35" customHeight="1">
      <x:c r="A1" s="4" t="str">
        <x:v>RISK REGISTER / LEADER ACTIONS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0" t="str">
        <x:v>Báo cáo mỗi thứ Năm. RISK-01 đến RISK-06 là blockers rất sát mốc 30/10.</x:v>
      </x:c>
      <x:c r="B2" s="10"/>
      <x:c r="C2" s="10"/>
      <x:c r="D2" s="10"/>
      <x:c r="E2" s="10"/>
      <x:c r="F2" s="10"/>
      <x:c r="G2" s="10"/>
      <x:c r="H2" s="10"/>
    </x:row>
    <x:row r="4" ht="29" customHeight="1">
      <x:c r="A4" s="17" t="str">
        <x:v>Risk ID</x:v>
      </x:c>
      <x:c r="B4" s="17" t="str">
        <x:v>Severity</x:v>
      </x:c>
      <x:c r="C4" s="17" t="str">
        <x:v>Risk / Trigger</x:v>
      </x:c>
      <x:c r="D4" s="17" t="str">
        <x:v>Owner</x:v>
      </x:c>
      <x:c r="E4" s="17" t="str">
        <x:v>Mitigation / Next Decision</x:v>
      </x:c>
      <x:c r="F4" s="17" t="str">
        <x:v>Status</x:v>
      </x:c>
      <x:c r="G4" s="17" t="str">
        <x:v>Related</x:v>
      </x:c>
      <x:c r="H4" s="17" t="str">
        <x:v>Evidence / Decision</x:v>
      </x:c>
    </x:row>
    <x:row r="5" ht="29" customHeight="1">
      <x:c r="A5" s="24" t="str">
        <x:v>RISK-01</x:v>
      </x:c>
      <x:c r="B5" s="24" t="str">
        <x:v>Critical</x:v>
      </x:c>
      <x:c r="C5" s="24" t="str">
        <x:v>Runtime thiếu RabbitMQ/MinIO trong compose snapshot</x:v>
      </x:c>
      <x:c r="D5" s="24" t="str">
        <x:v>Khải</x:v>
      </x:c>
      <x:c r="E5" s="24" t="str">
        <x:v>Bắt đầu W10; clean boot smoke, queue roundtrip, migration</x:v>
      </x:c>
      <x:c r="F5" s="24" t="str">
        <x:v>Open</x:v>
      </x:c>
      <x:c r="G5" s="24" t="str">
        <x:v>TE02</x:v>
      </x:c>
      <x:c r="H5" s="24" t="str"/>
    </x:row>
    <x:row r="6" ht="29" customHeight="1">
      <x:c r="A6" s="26" t="str">
        <x:v>RISK-02</x:v>
      </x:c>
      <x:c r="B6" s="26" t="str">
        <x:v>Critical</x:v>
      </x:c>
      <x:c r="C6" s="26" t="str">
        <x:v>Web chưa có production scan forms, đang là Next.js starter</x:v>
      </x:c>
      <x:c r="D6" s="26" t="str">
        <x:v>Khải/Thắng</x:v>
      </x:c>
      <x:c r="E6" s="26" t="str">
        <x:v>Dùng OpenAPI mock trước; W11 S01 E2E và W12 các flow scan</x:v>
      </x:c>
      <x:c r="F6" s="26" t="str">
        <x:v>Open</x:v>
      </x:c>
      <x:c r="G6" s="26" t="str">
        <x:v>S01,S02</x:v>
      </x:c>
      <x:c r="H6" s="26" t="str"/>
    </x:row>
    <x:row r="7" ht="29" customHeight="1">
      <x:c r="A7" s="24" t="str">
        <x:v>RISK-03</x:v>
      </x:c>
      <x:c r="B7" s="24" t="str">
        <x:v>Critical</x:v>
      </x:c>
      <x:c r="C7" s="24" t="str">
        <x:v>Mobile Expo placeholder; parity approved nhưng chưa thực thi</x:v>
      </x:c>
      <x:c r="D7" s="24" t="str">
        <x:v>Thắng/Leader</x:v>
      </x:c>
      <x:c r="E7" s="24" t="str">
        <x:v>Chốt cross-client strategy; track Web/Mobile separately, escalate no-go decision</x:v>
      </x:c>
      <x:c r="F7" s="24" t="str">
        <x:v>Open</x:v>
      </x:c>
      <x:c r="G7" s="24" t="str">
        <x:v>All client flows</x:v>
      </x:c>
      <x:c r="H7" s="24" t="str"/>
    </x:row>
    <x:row r="8" ht="29" customHeight="1">
      <x:c r="A8" s="26" t="str">
        <x:v>RISK-04</x:v>
      </x:c>
      <x:c r="B8" s="26" t="str">
        <x:v>High</x:v>
      </x:c>
      <x:c r="C8" s="26" t="str">
        <x:v>W09 ScanIntake chỉ contract/port; chưa có production scan lifecycle</x:v>
      </x:c>
      <x:c r="D8" s="26" t="str">
        <x:v>Kiên</x:v>
      </x:c>
      <x:c r="E8" s="26" t="str">
        <x:v>Ưu tiên E-CORE; integration Postgres/RabbitMQ; dedupe tests</x:v>
      </x:c>
      <x:c r="F8" s="26" t="str">
        <x:v>Open</x:v>
      </x:c>
      <x:c r="G8" s="26" t="str">
        <x:v>S01,R01</x:v>
      </x:c>
      <x:c r="H8" s="26" t="str"/>
    </x:row>
    <x:row r="9" ht="29" customHeight="1">
      <x:c r="A9" s="24" t="str">
        <x:v>RISK-05</x:v>
      </x:c>
      <x:c r="B9" s="24" t="str">
        <x:v>High</x:v>
      </x:c>
      <x:c r="C9" s="24" t="str">
        <x:v>Legacy FastAPI scan-engine bị hiểu nhầm là AI V3.3</x:v>
      </x:c>
      <x:c r="D9" s="24" t="str">
        <x:v>Thắng</x:v>
      </x:c>
      <x:c r="E9" s="24" t="str">
        <x:v>Tạo AI AMQP worker độc lập; smoke AiTask/AiPrediction</x:v>
      </x:c>
      <x:c r="F9" s="24" t="str">
        <x:v>Open</x:v>
      </x:c>
      <x:c r="G9" s="24" t="str">
        <x:v>S02,E-AI</x:v>
      </x:c>
      <x:c r="H9" s="24" t="str"/>
    </x:row>
    <x:row r="10" ht="29" customHeight="1">
      <x:c r="A10" s="26" t="str">
        <x:v>RISK-06</x:v>
      </x:c>
      <x:c r="B10" s="26" t="str">
        <x:v>Critical</x:v>
      </x:c>
      <x:c r="C10" s="26" t="str">
        <x:v>Mốc 30/10 có 20 P0 flows trong 2 tuần build và 1 tuần release</x:v>
      </x:c>
      <x:c r="D10" s="26" t="str">
        <x:v>Leader</x:v>
      </x:c>
      <x:c r="E10" s="26" t="str">
        <x:v>Daily readiness review; WIP ≤2 full-flow integration; freeze 26/10; no silent scope cut</x:v>
      </x:c>
      <x:c r="F10" s="26" t="str">
        <x:v>Open</x:v>
      </x:c>
      <x:c r="G10" s="26" t="str">
        <x:v>MVP</x:v>
      </x:c>
      <x:c r="H10" s="26" t="str"/>
    </x:row>
    <x:row r="11" ht="29" customHeight="1">
      <x:c r="A11" s="24" t="str">
        <x:v>RISK-07</x:v>
      </x:c>
      <x:c r="B11" s="24" t="str">
        <x:v>High</x:v>
      </x:c>
      <x:c r="C11" s="24" t="str">
        <x:v>API/worker schema drift hoặc duplicate events gây double risk result</x:v>
      </x:c>
      <x:c r="D11" s="24" t="str">
        <x:v>Kiên</x:v>
      </x:c>
      <x:c r="E11" s="24" t="str">
        <x:v>Contract fixtures in CI, outbox/dedupe, duplicate/late worker event tests</x:v>
      </x:c>
      <x:c r="F11" s="24" t="str">
        <x:v>Open</x:v>
      </x:c>
      <x:c r="G11" s="24" t="str">
        <x:v>E-CORE</x:v>
      </x:c>
      <x:c r="H11" s="24" t="str"/>
    </x:row>
    <x:row r="12" ht="29" customHeight="1">
      <x:c r="A12" s="26" t="str">
        <x:v>RISK-08</x:v>
      </x:c>
      <x:c r="B12" s="26" t="str">
        <x:v>High</x:v>
      </x:c>
      <x:c r="C12" s="26" t="str">
        <x:v>Security privacy/SSRF/IDOR khi AI-generated code được merge nhanh</x:v>
      </x:c>
      <x:c r="D12" s="26" t="str">
        <x:v>Khải/Hùng</x:v>
      </x:c>
      <x:c r="E12" s="26" t="str">
        <x:v>Risk-based review mandatory, negative fixtures; no raw secrets in logs</x:v>
      </x:c>
      <x:c r="F12" s="26" t="str">
        <x:v>Open</x:v>
      </x:c>
      <x:c r="G12" s="26" t="str">
        <x:v>Security gates</x:v>
      </x:c>
      <x:c r="H12" s="26" t="str"/>
    </x:row>
    <x:row r="13" ht="29" customHeight="1">
      <x:c r="A13" s="24" t="str">
        <x:v>RISK-09</x:v>
      </x:c>
      <x:c r="B13" s="24" t="str">
        <x:v>High</x:v>
      </x:c>
      <x:c r="C13" s="24" t="str">
        <x:v>Phân bổ 8 flow mỗi người chưa chắc công bằng khi effort đổi</x:v>
      </x:c>
      <x:c r="D13" s="24" t="str">
        <x:v>Leader</x:v>
      </x:c>
      <x:c r="E13" s="24" t="str">
        <x:v>Planning Poker remaining SP weekly; include shared enablers; limit WIP</x:v>
      </x:c>
      <x:c r="F13" s="24" t="str">
        <x:v>Open</x:v>
      </x:c>
      <x:c r="G13" s="24" t="str">
        <x:v>Workload</x:v>
      </x:c>
      <x:c r="H13" s="24" t="str"/>
    </x:row>
    <x:row r="14" ht="29" customHeight="1">
      <x:c r="A14" s="26" t="str">
        <x:v>RISK-10</x:v>
      </x:c>
      <x:c r="B14" s="26" t="str">
        <x:v>Medium</x:v>
      </x:c>
      <x:c r="C14" s="26" t="str">
        <x:v>Mock PASS bị nhầm là end-to-end PASS</x:v>
      </x:c>
      <x:c r="D14" s="26" t="str">
        <x:v>Leader</x:v>
      </x:c>
      <x:c r="E14" s="26" t="str">
        <x:v>Gate G3 bắt buộc real integration; peer manual G4; PM sign off G5</x:v>
      </x:c>
      <x:c r="F14" s="26" t="str">
        <x:v>Open</x:v>
      </x:c>
      <x:c r="G14" s="26" t="str">
        <x:v>UAT</x:v>
      </x:c>
      <x:c r="H14" s="26" t="str"/>
    </x:row>
  </x:sheetData>
  <x:mergeCells>
    <x:mergeCell ref="A1:H1"/>
    <x:mergeCell ref="A2:H2"/>
  </x:mergeCells>
  <x:dataValidations count="2">
    <x:dataValidation type="list" sqref="B5:B14">
      <x:formula1>"Critical,High,Medium,Low"</x:formula1>
    </x:dataValidation>
    <x:dataValidation type="list" sqref="F5:F14">
      <x:formula1>"Open,Mitigating,Blocked,Resolved,Accepted"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34" hidden="0" customWidth="1"/>
    <x:col min="4" max="4" width="18" hidden="0" customWidth="1"/>
    <x:col min="5" max="5" width="19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38" t="str">
        <x:v>ANTI-SCAM · DELIVERY CONTROL CENTER · V3.0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27" customHeight="1">
      <x:c r="A2" s="40" t="str">
        <x:v>DRAFT • Fixed release: 30 Oct 2026 · 32 full-flow tasks · use source-of-truth sheets for actual updates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 ht="27" customHeight="1">
      <x:c r="A4" s="42" t="str">
        <x:v>KPI</x:v>
      </x:c>
      <x:c r="B4" s="42" t="str">
        <x:v>Actual (formula)</x:v>
      </x:c>
      <x:c r="C4" s="42" t="str">
        <x:v>PM Interpretation</x:v>
      </x:c>
    </x:row>
    <x:row r="5" ht="24" customHeight="1">
      <x:c r="A5" t="str">
        <x:v>Total full-flow tasks</x:v>
      </x:c>
      <x:c r="B5" s="45" t="n">
        <x:f>COUNTA('Flow Tasks'!A5:A36)</x:f>
        <x:v>32</x:v>
      </x:c>
      <x:c r="C5" t="str">
        <x:v>Total 32 flows</x:v>
      </x:c>
    </x:row>
    <x:row r="6" ht="24" customHeight="1">
      <x:c r="A6" t="str">
        <x:v>P0 for 30/10</x:v>
      </x:c>
      <x:c r="B6" s="45" t="n">
        <x:f>COUNTIF('Flow Tasks'!I5:I36,"v0.1.0")</x:f>
        <x:v>20</x:v>
      </x:c>
      <x:c r="C6" t="str">
        <x:v>Fixed 30 Oct breadth scope</x:v>
      </x:c>
    </x:row>
    <x:row r="7" ht="24" customHeight="1">
      <x:c r="A7" t="str">
        <x:v>Accepted G5</x:v>
      </x:c>
      <x:c r="B7" s="45" t="n">
        <x:f>COUNTIF('Flow Tasks'!L5:L36,"G5")</x:f>
        <x:v>0</x:v>
      </x:c>
      <x:c r="C7" t="str">
        <x:v>True delivered value</x:v>
      </x:c>
    </x:row>
    <x:row r="8" ht="24" customHeight="1">
      <x:c r="A8" t="str">
        <x:v>Integrated G3+</x:v>
      </x:c>
      <x:c r="B8" s="45" t="n">
        <x:f>COUNTIF('Flow Tasks'!L5:L36,"G3")+COUNTIF('Flow Tasks'!L5:L36,"G4")+COUNTIF('Flow Tasks'!L5:L36,"G5")</x:f>
        <x:v>0</x:v>
      </x:c>
      <x:c r="C8" t="str">
        <x:v>No mock-only</x:v>
      </x:c>
    </x:row>
    <x:row r="9" ht="24" customHeight="1">
      <x:c r="A9" t="str">
        <x:v>Open blocked tasks</x:v>
      </x:c>
      <x:c r="B9" s="45" t="n">
        <x:f>COUNTIF('Flow Tasks'!K5:K36,"Blocked")</x:f>
        <x:v>0</x:v>
      </x:c>
      <x:c r="C9" t="str">
        <x:v>Triage in daily</x:v>
      </x:c>
    </x:row>
    <x:row r="10" ht="24" customHeight="1">
      <x:c r="A10" t="str">
        <x:v>UAT PASS</x:v>
      </x:c>
      <x:c r="B10" s="45" t="n">
        <x:f>COUNTIF('Manual UAT'!H5:H77,"PASS")</x:f>
        <x:v>0</x:v>
      </x:c>
      <x:c r="C10" t="str">
        <x:v>Peer UAT evidence</x:v>
      </x:c>
    </x:row>
    <x:row r="11" ht="24" customHeight="1">
      <x:c r="A11" t="str">
        <x:v>UAT FAIL</x:v>
      </x:c>
      <x:c r="B11" s="45" t="n">
        <x:f>COUNTIF('Manual UAT'!H5:H77,"FAIL")</x:f>
        <x:v>0</x:v>
      </x:c>
      <x:c r="C11" t="str">
        <x:v>Defects / release risks</x:v>
      </x:c>
    </x:row>
    <x:row r="12" ht="24" customHeight="1">
      <x:c r="A12" t="str">
        <x:v>Critical release gates PASS</x:v>
      </x:c>
      <x:c r="B12" s="45" t="n">
        <x:f>COUNTIF('Release Gates'!E5:E20,"PASS")</x:f>
        <x:v>0</x:v>
      </x:c>
      <x:c r="C12" t="str">
        <x:v>Require 16/16 or approved decision</x:v>
      </x:c>
    </x:row>
    <x:row r="15" ht="25" customHeight="1">
      <x:c r="A15" s="42" t="str">
        <x:v>Member</x:v>
      </x:c>
      <x:c r="B15" s="42" t="str">
        <x:v>Flow Captain</x:v>
      </x:c>
      <x:c r="C15" s="42" t="str">
        <x:v>Flow SP</x:v>
      </x:c>
      <x:c r="D15" s="42" t="str">
        <x:v>Enabler SP</x:v>
      </x:c>
      <x:c r="E15" s="42" t="str">
        <x:v>Total SP</x:v>
      </x:c>
      <x:c r="F15" s="42" t="str">
        <x:v>Peer UAT flows</x:v>
      </x:c>
    </x:row>
    <x:row r="16" ht="27" customHeight="1">
      <x:c r="A16" t="str">
        <x:v>Hùng</x:v>
      </x:c>
      <x:c r="B16" t="n">
        <x:f>COUNTIF('Flow Tasks'!$D$5:$D$36,A16)</x:f>
        <x:v>8</x:v>
      </x:c>
      <x:c r="C16" t="n">
        <x:f>SUMIF('Flow Tasks'!$D$5:$D$36,A16,'Flow Tasks'!$H$5:$H$36)</x:f>
        <x:v>44</x:v>
      </x:c>
      <x:c r="D16" t="n">
        <x:f>SUMIF(Enablers!$C$5:$C$8,A16,Enablers!$D$5:$D$8)</x:f>
        <x:v>14</x:v>
      </x:c>
      <x:c r="E16" t="n">
        <x:f>C16+D16</x:f>
        <x:v>58</x:v>
      </x:c>
      <x:c r="F16" t="n">
        <x:f>COUNTIF('Flow Tasks'!$E$5:$E$36,A16)</x:f>
        <x:v>8</x:v>
      </x:c>
    </x:row>
    <x:row r="17" ht="27" customHeight="1">
      <x:c r="A17" t="str">
        <x:v>Kiên</x:v>
      </x:c>
      <x:c r="B17" t="n">
        <x:f>COUNTIF('Flow Tasks'!$D$5:$D$36,A17)</x:f>
        <x:v>8</x:v>
      </x:c>
      <x:c r="C17" t="n">
        <x:f>SUMIF('Flow Tasks'!$D$5:$D$36,A17,'Flow Tasks'!$H$5:$H$36)</x:f>
        <x:v>47</x:v>
      </x:c>
      <x:c r="D17" t="n">
        <x:f>SUMIF(Enablers!$C$5:$C$8,A17,Enablers!$D$5:$D$8)</x:f>
        <x:v>13</x:v>
      </x:c>
      <x:c r="E17" t="n">
        <x:f>C17+D17</x:f>
        <x:v>60</x:v>
      </x:c>
      <x:c r="F17" t="n">
        <x:f>COUNTIF('Flow Tasks'!$E$5:$E$36,A17)</x:f>
        <x:v>8</x:v>
      </x:c>
    </x:row>
    <x:row r="18" ht="27" customHeight="1">
      <x:c r="A18" t="str">
        <x:v>Khải</x:v>
      </x:c>
      <x:c r="B18" t="n">
        <x:f>COUNTIF('Flow Tasks'!$D$5:$D$36,A18)</x:f>
        <x:v>8</x:v>
      </x:c>
      <x:c r="C18" t="n">
        <x:f>SUMIF('Flow Tasks'!$D$5:$D$36,A18,'Flow Tasks'!$H$5:$H$36)</x:f>
        <x:v>43</x:v>
      </x:c>
      <x:c r="D18" t="n">
        <x:f>SUMIF(Enablers!$C$5:$C$8,A18,Enablers!$D$5:$D$8)</x:f>
        <x:v>17</x:v>
      </x:c>
      <x:c r="E18" t="n">
        <x:f>C18+D18</x:f>
        <x:v>60</x:v>
      </x:c>
      <x:c r="F18" t="n">
        <x:f>COUNTIF('Flow Tasks'!$E$5:$E$36,A18)</x:f>
        <x:v>8</x:v>
      </x:c>
    </x:row>
    <x:row r="19" ht="27" customHeight="1">
      <x:c r="A19" t="str">
        <x:v>Thắng</x:v>
      </x:c>
      <x:c r="B19" t="n">
        <x:f>COUNTIF('Flow Tasks'!$D$5:$D$36,A19)</x:f>
        <x:v>8</x:v>
      </x:c>
      <x:c r="C19" t="n">
        <x:f>SUMIF('Flow Tasks'!$D$5:$D$36,A19,'Flow Tasks'!$H$5:$H$36)</x:f>
        <x:v>53</x:v>
      </x:c>
      <x:c r="D19" t="n">
        <x:f>SUMIF(Enablers!$C$5:$C$8,A19,Enablers!$D$5:$D$8)</x:f>
        <x:v>8</x:v>
      </x:c>
      <x:c r="E19" t="n">
        <x:f>C19+D19</x:f>
        <x:v>61</x:v>
      </x:c>
      <x:c r="F19" t="n">
        <x:f>COUNTIF('Flow Tasks'!$E$5:$E$36,A19)</x:f>
        <x:v>8</x:v>
      </x:c>
    </x:row>
    <x:row r="21" ht="28" customHeight="1">
      <x:c r="A21" s="49" t="str">
        <x:v>RELEASE DECISION NOTE — v0.1.0, 30/10/2026</x:v>
      </x:c>
      <x:c r="B21" s="49"/>
      <x:c r="C21" s="49"/>
      <x:c r="D21" s="49"/>
      <x:c r="E21" s="49"/>
      <x:c r="F21" s="49"/>
      <x:c r="G21" s="49"/>
      <x:c r="H21" s="49"/>
      <x:c r="I21" s="49"/>
      <x:c r="J21" s="49"/>
    </x:row>
    <x:row r="22" ht="29" customHeight="1">
      <x:c r="A22" s="54" t="str">
        <x:v>W13 is release-only. 26/10 feature freeze → 29/10 RC → 30/10 release. 20 P0 flows are a HIGH-RISK target given starter Web, placeholder Mobile, and missing RabbitMQ in the uploaded snapshot. Never mark full E2E as Done from mocks alone; escalate any M01–M14 or Web/Mobile parity gap to formal GO/NO-GO.</x:v>
      </x:c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 ht="29" customHeight="1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  <x:row r="24" ht="29" customHeight="1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</x:row>
    <x:row r="26" ht="29" customHeight="1">
      <x:c r="A26" s="58" t="str">
        <x:v>HOW TO USE: 1. Flow Tasks → 2. Weekly Updates → 3. Manual UAT → 4. Release Gates → 5. Dashboard. All initial states are UNVERIFIED.</x:v>
      </x:c>
      <x:c r="B26" s="58"/>
      <x:c r="C26" s="58"/>
      <x:c r="D26" s="58"/>
      <x:c r="E26" s="58"/>
      <x:c r="F26" s="58"/>
      <x:c r="G26" s="58"/>
      <x:c r="H26" s="58"/>
      <x:c r="I26" s="58"/>
      <x:c r="J26" s="58"/>
    </x:row>
  </x:sheetData>
  <x:mergeCells>
    <x:mergeCell ref="A1:J1"/>
    <x:mergeCell ref="A2:J2"/>
    <x:mergeCell ref="A21:J21"/>
    <x:mergeCell ref="A22:J24"/>
    <x:mergeCell ref="A26:J26"/>
  </x:mergeCells>
  <x:conditionalFormatting sqref="E16:E19">
    <x:cfRule type="dataBar" priority="1">
      <x:dataBar>
        <x:cfvo type="min"/>
        <x:cfvo type="max"/>
        <x:color rgb="FF0E749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E7490"/>
            </x14:dataBar>
          </x14:cfRule>
          <xm:sqref>E16:E19</xm:sqref>
        </x14:conditionalFormatting>
      </x14:conditionalFormattings>
    </x:ext>
  </x:extLst>
</x:worksheet>
</file>