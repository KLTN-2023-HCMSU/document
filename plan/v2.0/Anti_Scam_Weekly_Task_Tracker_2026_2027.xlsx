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77dc4b024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619c0f56d02400a"/>
    <x:sheet xmlns:r="http://schemas.openxmlformats.org/officeDocument/2006/relationships" name="Release Roadmap" sheetId="2" r:id="Rf56b6a2c6e0141fc"/>
    <x:sheet xmlns:r="http://schemas.openxmlformats.org/officeDocument/2006/relationships" name="Weekly Tracker" sheetId="3" r:id="Re9d7c31c61024fa3"/>
    <x:sheet xmlns:r="http://schemas.openxmlformats.org/officeDocument/2006/relationships" name="Weekly Calendar" sheetId="4" r:id="R12271f63135a4bff"/>
    <x:sheet xmlns:r="http://schemas.openxmlformats.org/officeDocument/2006/relationships" name="2 tuần đầu" sheetId="5" r:id="Rdcd7ea9caf814dcd"/>
    <x:sheet xmlns:r="http://schemas.openxmlformats.org/officeDocument/2006/relationships" name="WP Catalog" sheetId="6" r:id="Raea3d77547614b24"/>
    <x:sheet xmlns:r="http://schemas.openxmlformats.org/officeDocument/2006/relationships" name="Meetings &amp; Reports" sheetId="7" r:id="R1551fc6a21c6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857d08a9c4d25" /><Relationship Type="http://schemas.openxmlformats.org/officeDocument/2006/relationships/theme" Target="/xl/theme/theme1.xml" Id="R709c0842972c4bc7" /><Relationship Type="http://schemas.openxmlformats.org/officeDocument/2006/relationships/sharedStrings" Target="/xl/sharedStrings.xml" Id="R44a5eec092b44534" /><Relationship Type="http://schemas.openxmlformats.org/officeDocument/2006/relationships/worksheet" Target="/xl/worksheets/sheet1.xml" Id="R1619c0f56d02400a" /><Relationship Type="http://schemas.openxmlformats.org/officeDocument/2006/relationships/worksheet" Target="/xl/worksheets/sheet2.xml" Id="Rf56b6a2c6e0141fc" /><Relationship Type="http://schemas.openxmlformats.org/officeDocument/2006/relationships/worksheet" Target="/xl/worksheets/sheet3.xml" Id="Re9d7c31c61024fa3" /><Relationship Type="http://schemas.openxmlformats.org/officeDocument/2006/relationships/worksheet" Target="/xl/worksheets/sheet4.xml" Id="R12271f63135a4bff" /><Relationship Type="http://schemas.openxmlformats.org/officeDocument/2006/relationships/worksheet" Target="/xl/worksheets/sheet5.xml" Id="Rdcd7ea9caf814dcd" /><Relationship Type="http://schemas.openxmlformats.org/officeDocument/2006/relationships/worksheet" Target="/xl/worksheets/sheet6.xml" Id="Raea3d77547614b24" /><Relationship Type="http://schemas.openxmlformats.org/officeDocument/2006/relationships/worksheet" Target="/xl/worksheets/sheet7.xml" Id="R1551fc6a21c64e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cb543818124e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WP hoàn thành theo thành viên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WP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cb543818124e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TrackerTable" displayName="WeeklyTrackerTable" ref="A1:R76" headerRowCount="1" totalsRowCount="0" totalsRowShown="0">
  <x:tableColumns count="18">
    <x:tableColumn id="1" name="Cycle"/>
    <x:tableColumn id="2" name="Start"/>
    <x:tableColumn id="3" name="End"/>
    <x:tableColumn id="4" name="Phase"/>
    <x:tableColumn id="5" name="Owner"/>
    <x:tableColumn id="6" name="WP"/>
    <x:tableColumn id="7" name="Module"/>
    <x:tableColumn id="8" name="Work Package"/>
    <x:tableColumn id="9" name="Scope"/>
    <x:tableColumn id="10" name="Release Target"/>
    <x:tableColumn id="11" name="Workload"/>
    <x:tableColumn id="12" name="Done"/>
    <x:tableColumn id="13" name="Status"/>
    <x:tableColumn id="14" name="Progress %"/>
    <x:tableColumn id="15" name="Evidence / PR / Demo"/>
    <x:tableColumn id="16" name="Blocker / Note"/>
    <x:tableColumn id="17" name="Feature IDs"/>
    <x:tableColumn id="18" name="Mock / Contract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CalendarTable" displayName="WeeklyCalendarTable" ref="A1:N45" headerRowCount="1" totalsRowCount="0" totalsRowShown="0">
  <x:tableColumns count="14">
    <x:tableColumn id="1" name="Cycle"/>
    <x:tableColumn id="2" name="Start"/>
    <x:tableColumn id="3" name="End"/>
    <x:tableColumn id="4" name="Phase"/>
    <x:tableColumn id="5" name="Hùng"/>
    <x:tableColumn id="6" name="Khải"/>
    <x:tableColumn id="7" name="Kiên"/>
    <x:tableColumn id="8" name="Thắng"/>
    <x:tableColumn id="9" name="Recurring / QA"/>
    <x:tableColumn id="10" name="Release / Milestone"/>
    <x:tableColumn id="11" name="GV Thứ 3"/>
    <x:tableColumn id="12" name="T5 Meeting"/>
    <x:tableColumn id="13" name="T7 Meeting"/>
    <x:tableColumn id="14" name="T2 Summ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TwoWeeksTable" displayName="FirstTwoWeeksTable" ref="A1:J11" headerRowCount="1" totalsRowCount="0" totalsRowShown="0">
  <x:tableColumns count="10">
    <x:tableColumn id="1" name="Cycle"/>
    <x:tableColumn id="2" name="Period"/>
    <x:tableColumn id="3" name="Owner"/>
    <x:tableColumn id="4" name="WP"/>
    <x:tableColumn id="5" name="Goal"/>
    <x:tableColumn id="6" name="Deliverable"/>
    <x:tableColumn id="7" name="Evidence"/>
    <x:tableColumn id="8" name="Done"/>
    <x:tableColumn id="9" name="Status"/>
    <x:tableColumn id="10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PCatalogTable" displayName="WPCatalogTable" ref="A1:K76" headerRowCount="1" totalsRowCount="0" totalsRowShown="0">
  <x:tableColumns count="11">
    <x:tableColumn id="1" name="WP"/>
    <x:tableColumn id="2" name="Owner"/>
    <x:tableColumn id="3" name="Module"/>
    <x:tableColumn id="4" name="Work Package"/>
    <x:tableColumn id="5" name="Feature IDs"/>
    <x:tableColumn id="6" name="P0"/>
    <x:tableColumn id="7" name="P1"/>
    <x:tableColumn id="8" name="P2"/>
    <x:tableColumn id="9" name="Workload"/>
    <x:tableColumn id="10" name="Scope"/>
    <x:tableColumn id="11" name="Mock / Contract Bound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494bed57bd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7be253823f44e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ac30d47fd342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6c8b3bc584c48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f74cfa73c1249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 t="str">
        <x:v>Anti-Scam — Weekly Task Tracker 2026–2027</x:v>
      </x:c>
      <x:c r="B1" s="26"/>
      <x:c r="C1" s="26"/>
      <x:c r="D1" s="26"/>
      <x:c r="E1" s="26"/>
      <x:c r="F1" s="26"/>
      <x:c r="G1" s="26"/>
      <x:c r="H1" s="26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/>
      <x:c r="B2" s="39"/>
      <x:c r="C2" s="39"/>
      <x:c r="D2" s="39"/>
      <x:c r="E2" s="39"/>
      <x:c r="F2" s="39"/>
      <x:c r="G2" s="39"/>
      <x:c r="H2" s="39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28" t="str">
        <x:v>KPI</x:v>
      </x:c>
      <x:c r="B3" s="28" t="str">
        <x:v>Giá trị</x:v>
      </x:c>
      <x:c r="C3" s="39"/>
      <x:c r="D3" s="28" t="str">
        <x:v>Owner</x:v>
      </x:c>
      <x:c r="E3" s="28" t="str">
        <x:v>WP</x:v>
      </x:c>
      <x:c r="F3" s="28" t="str">
        <x:v>Done</x:v>
      </x:c>
      <x:c r="G3" s="28" t="str">
        <x:v>Progress</x:v>
      </x:c>
      <x:c r="H3" s="39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Tổng Work Package</x:v>
      </x:c>
      <x:c r="B4" s="39" t="n">
        <x:v>75</x:v>
      </x:c>
      <x:c r="C4" s="39"/>
      <x:c r="D4" s="39" t="str">
        <x:v>Hùng</x:v>
      </x:c>
      <x:c r="E4" s="39" t="n">
        <x:v>19</x:v>
      </x:c>
      <x:c r="F4" s="39" t="n">
        <x:f>COUNTIFS('Weekly Tracker'!$E:$E,D4,'Weekly Tracker'!$L:$L,"☑")</x:f>
        <x:v>0</x:v>
      </x:c>
      <x:c r="G4" s="40" t="n">
        <x:f>IF(E4=0,0,F4/E4)</x:f>
        <x:v>0</x:v>
      </x:c>
      <x:c r="H4" s="39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Core WP</x:v>
      </x:c>
      <x:c r="B5" s="39" t="n">
        <x:v>67</x:v>
      </x:c>
      <x:c r="C5" s="39"/>
      <x:c r="D5" s="39" t="str">
        <x:v>Khải</x:v>
      </x:c>
      <x:c r="E5" s="39" t="n">
        <x:v>17</x:v>
      </x:c>
      <x:c r="F5" s="39" t="n">
        <x:f>COUNTIFS('Weekly Tracker'!$E:$E,D5,'Weekly Tracker'!$L:$L,"☑")</x:f>
        <x:v>0</x:v>
      </x:c>
      <x:c r="G5" s="40" t="n">
        <x:f>IF(E5=0,0,F5/E5)</x:f>
        <x:v>0</x:v>
      </x:c>
      <x:c r="H5" s="39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Future WP</x:v>
      </x:c>
      <x:c r="B6" s="39" t="n">
        <x:v>8</x:v>
      </x:c>
      <x:c r="C6" s="39"/>
      <x:c r="D6" s="39" t="str">
        <x:v>Kiên</x:v>
      </x:c>
      <x:c r="E6" s="39" t="n">
        <x:v>19</x:v>
      </x:c>
      <x:c r="F6" s="39" t="n">
        <x:f>COUNTIFS('Weekly Tracker'!$E:$E,D6,'Weekly Tracker'!$L:$L,"☑")</x:f>
        <x:v>0</x:v>
      </x:c>
      <x:c r="G6" s="40" t="n">
        <x:f>IF(E6=0,0,F6/E6)</x:f>
        <x:v>0</x:v>
      </x:c>
      <x:c r="H6" s="39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MVP release</x:v>
      </x:c>
      <x:c r="B7" s="41" t="n">
        <x:v>46325</x:v>
      </x:c>
      <x:c r="C7" s="39"/>
      <x:c r="D7" s="39" t="str">
        <x:v>Thắng</x:v>
      </x:c>
      <x:c r="E7" s="39" t="n">
        <x:v>20</x:v>
      </x:c>
      <x:c r="F7" s="39" t="n">
        <x:f>COUNTIFS('Weekly Tracker'!$E:$E,D7,'Weekly Tracker'!$L:$L,"☑")</x:f>
        <x:v>0</x:v>
      </x:c>
      <x:c r="G7" s="40" t="n">
        <x:f>IF(E7=0,0,F7/E7)</x:f>
        <x:v>0</x:v>
      </x:c>
      <x:c r="H7" s="39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Public Beta</x:v>
      </x:c>
      <x:c r="B8" s="41" t="n">
        <x:v>46409</x:v>
      </x:c>
      <x:c r="C8" s="39"/>
      <x:c r="D8" s="39" t="str">
        <x:v>Tổng</x:v>
      </x:c>
      <x:c r="E8" s="39" t="n">
        <x:v>75</x:v>
      </x:c>
      <x:c r="F8" s="39" t="n">
        <x:f>COUNTIF('Weekly Tracker'!$L:$L,"☑")</x:f>
        <x:v>0</x:v>
      </x:c>
      <x:c r="G8" s="40" t="n">
        <x:f>IF(E8=0,0,F8/E8)</x:f>
        <x:v>0</x:v>
      </x:c>
      <x:c r="H8" s="39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/>
      <x:c r="B9" s="39"/>
      <x:c r="C9" s="39"/>
      <x:c r="D9" s="39"/>
      <x:c r="E9" s="39"/>
      <x:c r="F9" s="39"/>
      <x:c r="G9" s="39"/>
      <x:c r="H9" s="39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1" t="str">
        <x:v>Quy tắc: tick ☑ chỉ khi có evidence (PR/test/demo/doc). Future WP là optional và không được kéo dependency ngược vào core.</x:v>
      </x:c>
      <x:c r="B10" s="31"/>
      <x:c r="C10" s="31"/>
      <x:c r="D10" s="31"/>
      <x:c r="E10" s="31"/>
      <x:c r="F10" s="31"/>
      <x:c r="G10" s="31"/>
      <x:c r="H10" s="31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9d494bed57bd43f1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60" hidden="0" customWidth="1"/>
    <x:col min="5" max="5" width="18" hidden="0" customWidth="1"/>
  </x:cols>
  <x:sheetData>
    <x:row r="1">
      <x:c r="A1" s="28" t="str">
        <x:v>Version/Mốc</x:v>
      </x:c>
      <x:c r="B1" s="28" t="str">
        <x:v>Ngày</x:v>
      </x:c>
      <x:c r="C1" s="28" t="str">
        <x:v>Loại</x:v>
      </x:c>
      <x:c r="D1" s="28" t="str">
        <x:v>Mục tiêu / Scope</x:v>
      </x:c>
      <x:c r="E1" s="28" t="str">
        <x:v>Gate</x:v>
      </x:c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v0.1.0</x:v>
      </x:c>
      <x:c r="B2" s="41" t="n">
        <x:v>46325</x:v>
      </x:c>
      <x:c r="C2" s="39" t="str">
        <x:v>MVP</x:v>
      </x:c>
      <x:c r="D2" s="39" t="str">
        <x:v>Vertical slice ổn định: auth/session, text scan, URL scan + SSRF, risk result/history, orchestration nền tảng.</x:v>
      </x:c>
      <x:c r="E2" s="39" t="str">
        <x:v>Release</x:v>
      </x:c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v0.2.0</x:v>
      </x:c>
      <x:c r="B3" s="41" t="n">
        <x:v>46346</x:v>
      </x:c>
      <x:c r="C3" s="39" t="str">
        <x:v>Core Expansion 1</x:v>
      </x:c>
      <x:c r="D3" s="39" t="str">
        <x:v>Entity reputation + threat/reputation nền tảng + community report cơ bản.</x:v>
      </x:c>
      <x:c r="E3" s="39" t="str">
        <x:v>Release</x:v>
      </x:c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v0.3.0</x:v>
      </x:c>
      <x:c r="B4" s="41" t="n">
        <x:v>46367</x:v>
      </x:c>
      <x:c r="C4" s="39" t="str">
        <x:v>Core Expansion 2</x:v>
      </x:c>
      <x:c r="D4" s="39" t="str">
        <x:v>Moderation, notification nền tảng, QR baseline, rule/threat management mở rộng.</x:v>
      </x:c>
      <x:c r="E4" s="39" t="str">
        <x:v>Release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v0.4.0</x:v>
      </x:c>
      <x:c r="B5" s="41" t="n">
        <x:v>46395</x:v>
      </x:c>
      <x:c r="C5" s="39" t="str">
        <x:v>Beta Candidate</x:v>
      </x:c>
      <x:c r="D5" s="39" t="str">
        <x:v>AI async baseline, export/ops hardening, Google OIDC/profile/security polish.</x:v>
      </x:c>
      <x:c r="E5" s="39" t="str">
        <x:v>Release</x:v>
      </x:c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v0.5.0-beta.1</x:v>
      </x:c>
      <x:c r="B6" s="41" t="n">
        <x:v>46409</x:v>
      </x:c>
      <x:c r="C6" s="39" t="str">
        <x:v>Public Beta</x:v>
      </x:c>
      <x:c r="D6" s="39" t="str">
        <x:v>Mở beta cho user trải nghiệm; bật feedback/data collection và monitoring.</x:v>
      </x:c>
      <x:c r="E6" s="39" t="str">
        <x:v>Release</x:v>
      </x:c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v0.5.0-beta.2</x:v>
      </x:c>
      <x:c r="B7" s="41" t="n">
        <x:v>46437</x:v>
      </x:c>
      <x:c r="C7" s="39" t="str">
        <x:v>Feedback Release 1</x:v>
      </x:c>
      <x:c r="D7" s="39" t="str">
        <x:v>Sửa lỗi/UX và ưu tiên feedback đầu tiên sau Tết.</x:v>
      </x:c>
      <x:c r="E7" s="39" t="str">
        <x:v>Release</x:v>
      </x:c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v0.5.0-beta.3</x:v>
      </x:c>
      <x:c r="B8" s="41" t="n">
        <x:v>46451</x:v>
      </x:c>
      <x:c r="C8" s="39" t="str">
        <x:v>Feedback Release 2</x:v>
      </x:c>
      <x:c r="D8" s="39" t="str">
        <x:v>Cải thiện detection/UX/notifications theo feedback + dữ liệu beta.</x:v>
      </x:c>
      <x:c r="E8" s="39" t="str">
        <x:v>Release</x:v>
      </x:c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v0.5.0-beta.4</x:v>
      </x:c>
      <x:c r="B9" s="41" t="n">
        <x:v>46465</x:v>
      </x:c>
      <x:c r="C9" s="39" t="str">
        <x:v>Feedback Release 3</x:v>
      </x:c>
      <x:c r="D9" s="39" t="str">
        <x:v>Release feedback cuối trước data freeze.</x:v>
      </x:c>
      <x:c r="E9" s="39" t="str">
        <x:v>Release</x:v>
      </x:c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DATA-FREEZE</x:v>
      </x:c>
      <x:c r="B10" s="41" t="n">
        <x:v>46477</x:v>
      </x:c>
      <x:c r="C10" s="39" t="str">
        <x:v>Data &amp; Feedback Freeze</x:v>
      </x:c>
      <x:c r="D10" s="39" t="str">
        <x:v>Chốt tập dữ liệu/feedback dùng cho phân tích và báo cáo thực nghiệm.</x:v>
      </x:c>
      <x:c r="E10" s="39" t="str">
        <x:v>Data freeze</x:v>
      </x:c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v0.6.0</x:v>
      </x:c>
      <x:c r="B11" s="41" t="n">
        <x:v>46493</x:v>
      </x:c>
      <x:c r="C11" s="39" t="str">
        <x:v>Research/Quality</x:v>
      </x:c>
      <x:c r="D11" s="39" t="str">
        <x:v>Cải thiện chất lượng dựa trên phân tích dữ liệu; không làm thay đổi thiết kế cốt lõi.</x:v>
      </x:c>
      <x:c r="E11" s="39" t="str">
        <x:v>Release</x:v>
      </x:c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 t="str">
        <x:v>v0.7.0</x:v>
      </x:c>
      <x:c r="B12" s="41" t="n">
        <x:v>46514</x:v>
      </x:c>
      <x:c r="C12" s="39" t="str">
        <x:v>Feature Complete Candidate</x:v>
      </x:c>
      <x:c r="D12" s="39" t="str">
        <x:v>Hoàn tất feature đã cam kết; chỉ còn hardening và chốt số liệu.</x:v>
      </x:c>
      <x:c r="E12" s="39" t="str">
        <x:v>Release</x:v>
      </x:c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9" t="str">
        <x:v>v1.0.0-rc1</x:v>
      </x:c>
      <x:c r="B13" s="41" t="n">
        <x:v>46535</x:v>
      </x:c>
      <x:c r="C13" s="39" t="str">
        <x:v>Release Candidate</x:v>
      </x:c>
      <x:c r="D13" s="39" t="str">
        <x:v>Feature freeze; regression + security + deploy + tài liệu.</x:v>
      </x:c>
      <x:c r="E13" s="39" t="str">
        <x:v>Release</x:v>
      </x:c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9" t="str">
        <x:v>v1.0.0</x:v>
      </x:c>
      <x:c r="B14" s="41" t="n">
        <x:v>46542</x:v>
      </x:c>
      <x:c r="C14" s="39" t="str">
        <x:v>Final Product Baseline</x:v>
      </x:c>
      <x:c r="D14" s="39" t="str">
        <x:v>Chốt product/research/evidence trước 06/06; sau đó chỉ critical hotfix.</x:v>
      </x:c>
      <x:c r="E14" s="39" t="str">
        <x:v>Release</x:v>
      </x:c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12" hidden="0" customWidth="1"/>
    <x:col min="6" max="6" width="12" hidden="0" customWidth="1"/>
    <x:col min="7" max="7" width="10" hidden="0" customWidth="1"/>
    <x:col min="8" max="8" width="40" hidden="0" customWidth="1"/>
    <x:col min="9" max="9" width="18" hidden="0" customWidth="1"/>
    <x:col min="10" max="10" width="30" hidden="0" customWidth="1"/>
    <x:col min="11" max="11" width="10" hidden="0" customWidth="1"/>
    <x:col min="12" max="12" width="8" hidden="0" customWidth="1"/>
    <x:col min="13" max="13" width="16" hidden="0" customWidth="1"/>
    <x:col min="14" max="14" width="12" hidden="0" customWidth="1"/>
    <x:col min="15" max="15" width="32" hidden="0" customWidth="1"/>
    <x:col min="16" max="16" width="32" hidden="0" customWidth="1"/>
    <x:col min="17" max="17" width="38" hidden="0" customWidth="1"/>
    <x:col min="18" max="18" width="44" hidden="0" customWidth="1"/>
  </x:cols>
  <x:sheetData>
    <x:row r="1">
      <x:c r="A1" s="28" t="str">
        <x:v>Cycle</x:v>
      </x:c>
      <x:c r="B1" s="28" t="str">
        <x:v>Start</x:v>
      </x:c>
      <x:c r="C1" s="28" t="str">
        <x:v>End</x:v>
      </x:c>
      <x:c r="D1" s="28" t="str">
        <x:v>Phase</x:v>
      </x:c>
      <x:c r="E1" s="28" t="str">
        <x:v>Owner</x:v>
      </x:c>
      <x:c r="F1" s="28" t="str">
        <x:v>WP</x:v>
      </x:c>
      <x:c r="G1" s="28" t="str">
        <x:v>Module</x:v>
      </x:c>
      <x:c r="H1" s="28" t="str">
        <x:v>Work Package</x:v>
      </x:c>
      <x:c r="I1" s="28" t="str">
        <x:v>Scope</x:v>
      </x:c>
      <x:c r="J1" s="28" t="str">
        <x:v>Release Target</x:v>
      </x:c>
      <x:c r="K1" s="28" t="str">
        <x:v>Workload</x:v>
      </x:c>
      <x:c r="L1" s="28" t="str">
        <x:v>Done</x:v>
      </x:c>
      <x:c r="M1" s="28" t="str">
        <x:v>Status</x:v>
      </x:c>
      <x:c r="N1" s="28" t="str">
        <x:v>Progress %</x:v>
      </x:c>
      <x:c r="O1" s="28" t="str">
        <x:v>Evidence / PR / Demo</x:v>
      </x:c>
      <x:c r="P1" s="28" t="str">
        <x:v>Blocker / Note</x:v>
      </x:c>
      <x:c r="Q1" s="28" t="str">
        <x:v>Feature IDs</x:v>
      </x:c>
      <x:c r="R1" s="28" t="str">
        <x:v>Mock / Contract Boundary</x:v>
      </x:c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B0</x:v>
      </x:c>
      <x:c r="B2" s="41" t="n">
        <x:v>46292</x:v>
      </x:c>
      <x:c r="C2" s="41" t="n">
        <x:v>46300</x:v>
      </x:c>
      <x:c r="D2" s="39" t="str">
        <x:v>P1 · MVP</x:v>
      </x:c>
      <x:c r="E2" s="39" t="str">
        <x:v>Hùng</x:v>
      </x:c>
      <x:c r="F2" s="39" t="str">
        <x:v>H-WP03</x:v>
      </x:c>
      <x:c r="G2" s="39" t="str">
        <x:v>M01</x:v>
      </x:c>
      <x:c r="H2" s="39" t="str">
        <x:v>Session &amp; Token Security</x:v>
      </x:c>
      <x:c r="I2" s="39" t="str">
        <x:v>MVP Candidate</x:v>
      </x:c>
      <x:c r="J2" s="39" t="str">
        <x:v>v0.1.0 · MVP</x:v>
      </x:c>
      <x:c r="K2" s="39" t="n">
        <x:v>22</x:v>
      </x:c>
      <x:c r="L2" s="39" t="str">
        <x:v>☐</x:v>
      </x:c>
      <x:c r="M2" s="39" t="str">
        <x:v>Chưa bắt đầu</x:v>
      </x:c>
      <x:c r="N2" s="40" t="n">
        <x:f>IF(L2="☑",1,IF(M2="Done",1,IF(M2="Đang làm",0.5,IF(M2="Blocked",0.25,0))))</x:f>
        <x:v>0</x:v>
      </x:c>
      <x:c r="O2" s="39" t="str"/>
      <x:c r="P2" s="39" t="str"/>
      <x:c r="Q2" s="39" t="str">
        <x:v>M01-F008, M01-F009, M01-F010, M01-F011, M01-F012, M01-F013, M01-F014, M01-F041</x:v>
      </x:c>
      <x:c r="R2" s="39" t="str">
        <x:v>MockNotificationPort + FakeAccessContext/EntitlementContext; external IdP behind adapter</x:v>
      </x:c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B0</x:v>
      </x:c>
      <x:c r="B3" s="41" t="n">
        <x:v>46292</x:v>
      </x:c>
      <x:c r="C3" s="41" t="n">
        <x:v>46300</x:v>
      </x:c>
      <x:c r="D3" s="39" t="str">
        <x:v>P1 · MVP</x:v>
      </x:c>
      <x:c r="E3" s="39" t="str">
        <x:v>Khải</x:v>
      </x:c>
      <x:c r="F3" s="39" t="str">
        <x:v>K-WP01</x:v>
      </x:c>
      <x:c r="G3" s="39" t="str">
        <x:v>M02</x:v>
      </x:c>
      <x:c r="H3" s="39" t="str">
        <x:v>URL Intake, Normalization, Cache &amp; Basic Signals</x:v>
      </x:c>
      <x:c r="I3" s="39" t="str">
        <x:v>MVP Candidate</x:v>
      </x:c>
      <x:c r="J3" s="39" t="str">
        <x:v>v0.1.0 · MVP</x:v>
      </x:c>
      <x:c r="K3" s="39" t="n">
        <x:v>20</x:v>
      </x:c>
      <x:c r="L3" s="39" t="str">
        <x:v>☐</x:v>
      </x:c>
      <x:c r="M3" s="39" t="str">
        <x:v>Chưa bắt đầu</x:v>
      </x:c>
      <x:c r="N3" s="40" t="n">
        <x:f>IF(L3="☑",1,IF(M3="Done",1,IF(M3="Đang làm",0.5,IF(M3="Blocked",0.25,0))))</x:f>
        <x:v>0</x:v>
      </x:c>
      <x:c r="O3" s="39" t="str"/>
      <x:c r="P3" s="39" t="str"/>
      <x:c r="Q3" s="39" t="str">
        <x:v>M02-F001, M02-F002, M02-F003, M02-F004, M02-F005, M02-F006, M02-F007, M02-F008</x:v>
      </x:c>
      <x:c r="R3" s="39" t="str">
        <x:v>FakeMessageBus + MockThreatQuery + RiskResult/worker fixtures; no direct DB/core call from worker</x:v>
      </x:c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B0</x:v>
      </x:c>
      <x:c r="B4" s="41" t="n">
        <x:v>46292</x:v>
      </x:c>
      <x:c r="C4" s="41" t="n">
        <x:v>46300</x:v>
      </x:c>
      <x:c r="D4" s="39" t="str">
        <x:v>P1 · MVP</x:v>
      </x:c>
      <x:c r="E4" s="39" t="str">
        <x:v>Kiên</x:v>
      </x:c>
      <x:c r="F4" s="39" t="str">
        <x:v>I-WP11</x:v>
      </x:c>
      <x:c r="G4" s="39" t="str">
        <x:v>M12</x:v>
      </x:c>
      <x:c r="H4" s="39" t="str">
        <x:v>Request Controls, Authorization &amp; Scan Dispatch</x:v>
      </x:c>
      <x:c r="I4" s="39" t="str">
        <x:v>MVP Candidate</x:v>
      </x:c>
      <x:c r="J4" s="39" t="str">
        <x:v>v0.1.0 · MVP</x:v>
      </x:c>
      <x:c r="K4" s="39" t="n">
        <x:v>17</x:v>
      </x:c>
      <x:c r="L4" s="39" t="str">
        <x:v>☐</x:v>
      </x:c>
      <x:c r="M4" s="39" t="str">
        <x:v>Chưa bắt đầu</x:v>
      </x:c>
      <x:c r="N4" s="40" t="n">
        <x:f>IF(L4="☑",1,IF(M4="Done",1,IF(M4="Đang làm",0.5,IF(M4="Blocked",0.25,0))))</x:f>
        <x:v>0</x:v>
      </x:c>
      <x:c r="O4" s="39" t="str"/>
      <x:c r="P4" s="39" t="str"/>
      <x:c r="Q4" s="39" t="str">
        <x:v>M12-F001, M12-F002, M12-F003, M12-F004, M12-F018, M12-F019</x:v>
      </x:c>
      <x:c r="R4" s="39" t="str">
        <x:v>FakeMessageBus + worker/AI/nested-scan/race fixtures + in-memory repositories</x:v>
      </x:c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B0</x:v>
      </x:c>
      <x:c r="B5" s="41" t="n">
        <x:v>46292</x:v>
      </x:c>
      <x:c r="C5" s="41" t="n">
        <x:v>46300</x:v>
      </x:c>
      <x:c r="D5" s="39" t="str">
        <x:v>P1 · MVP</x:v>
      </x:c>
      <x:c r="E5" s="39" t="str">
        <x:v>Thắng</x:v>
      </x:c>
      <x:c r="F5" s="39" t="str">
        <x:v>T-WP01</x:v>
      </x:c>
      <x:c r="G5" s="39" t="str">
        <x:v>M03</x:v>
      </x:c>
      <x:c r="H5" s="39" t="str">
        <x:v>Vietnamese Text Normalization &amp; Evasion Handling</x:v>
      </x:c>
      <x:c r="I5" s="39" t="str">
        <x:v>MVP Candidate</x:v>
      </x:c>
      <x:c r="J5" s="39" t="str">
        <x:v>v0.1.0 · MVP</x:v>
      </x:c>
      <x:c r="K5" s="39" t="n">
        <x:v>15</x:v>
      </x:c>
      <x:c r="L5" s="39" t="str">
        <x:v>☐</x:v>
      </x:c>
      <x:c r="M5" s="39" t="str">
        <x:v>Chưa bắt đầu</x:v>
      </x:c>
      <x:c r="N5" s="40" t="n">
        <x:f>IF(L5="☑",1,IF(M5="Done",1,IF(M5="Đang làm",0.5,IF(M5="Blocked",0.25,0))))</x:f>
        <x:v>0</x:v>
      </x:c>
      <x:c r="O5" s="39" t="str"/>
      <x:c r="P5" s="39" t="str"/>
      <x:c r="Q5" s="39" t="str">
        <x:v>M03-F001, M03-F002, M03-F003, M03-F004, M03-F005, M03-F006, M03-F007</x:v>
      </x:c>
      <x:c r="R5" s="39" t="str">
        <x:v>FakeMessageBus + text/AI/derived-indicator fixtures + MockRiskEvaluationPort</x:v>
      </x:c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W01</x:v>
      </x:c>
      <x:c r="B6" s="41" t="n">
        <x:v>46301</x:v>
      </x:c>
      <x:c r="C6" s="41" t="n">
        <x:v>46307</x:v>
      </x:c>
      <x:c r="D6" s="39" t="str">
        <x:v>P1 · MVP</x:v>
      </x:c>
      <x:c r="E6" s="39" t="str">
        <x:v>Hùng</x:v>
      </x:c>
      <x:c r="F6" s="39" t="str">
        <x:v>H-WP01</x:v>
      </x:c>
      <x:c r="G6" s="39" t="str">
        <x:v>M01</x:v>
      </x:c>
      <x:c r="H6" s="39" t="str">
        <x:v>Local Registration &amp; Email Verification</x:v>
      </x:c>
      <x:c r="I6" s="39" t="str">
        <x:v>MVP Candidate</x:v>
      </x:c>
      <x:c r="J6" s="39" t="str">
        <x:v>v0.1.0 · MVP</x:v>
      </x:c>
      <x:c r="K6" s="39" t="n">
        <x:v>14</x:v>
      </x:c>
      <x:c r="L6" s="39" t="str">
        <x:v>☐</x:v>
      </x:c>
      <x:c r="M6" s="39" t="str">
        <x:v>Chưa bắt đầu</x:v>
      </x:c>
      <x:c r="N6" s="40" t="n">
        <x:f>IF(L6="☑",1,IF(M6="Done",1,IF(M6="Đang làm",0.5,IF(M6="Blocked",0.25,0))))</x:f>
        <x:v>0</x:v>
      </x:c>
      <x:c r="O6" s="39" t="str"/>
      <x:c r="P6" s="39" t="str"/>
      <x:c r="Q6" s="39" t="str">
        <x:v>M01-F001, M01-F002, M01-F003, M01-F004, M01-F005</x:v>
      </x:c>
      <x:c r="R6" s="39" t="str">
        <x:v>MockNotificationPort + FakeAccessContext/EntitlementContext; external IdP behind adapter</x:v>
      </x:c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W01</x:v>
      </x:c>
      <x:c r="B7" s="41" t="n">
        <x:v>46301</x:v>
      </x:c>
      <x:c r="C7" s="41" t="n">
        <x:v>46307</x:v>
      </x:c>
      <x:c r="D7" s="39" t="str">
        <x:v>P1 · MVP</x:v>
      </x:c>
      <x:c r="E7" s="39" t="str">
        <x:v>Khải</x:v>
      </x:c>
      <x:c r="F7" s="39" t="str">
        <x:v>K-WP02</x:v>
      </x:c>
      <x:c r="G7" s="39" t="str">
        <x:v>M02</x:v>
      </x:c>
      <x:c r="H7" s="39" t="str">
        <x:v>Safe Fetch &amp; SSRF Guard</x:v>
      </x:c>
      <x:c r="I7" s="39" t="str">
        <x:v>MVP Candidate</x:v>
      </x:c>
      <x:c r="J7" s="39" t="str">
        <x:v>v0.1.0 · MVP</x:v>
      </x:c>
      <x:c r="K7" s="39" t="n">
        <x:v>20</x:v>
      </x:c>
      <x:c r="L7" s="39" t="str">
        <x:v>☐</x:v>
      </x:c>
      <x:c r="M7" s="39" t="str">
        <x:v>Chưa bắt đầu</x:v>
      </x:c>
      <x:c r="N7" s="40" t="n">
        <x:f>IF(L7="☑",1,IF(M7="Done",1,IF(M7="Đang làm",0.5,IF(M7="Blocked",0.25,0))))</x:f>
        <x:v>0</x:v>
      </x:c>
      <x:c r="O7" s="39" t="str"/>
      <x:c r="P7" s="39" t="str"/>
      <x:c r="Q7" s="39" t="str">
        <x:v>M02-F009, M02-F010, M02-F011, M02-F012, M02-F013, M02-F014, M02-F015, M02-F016</x:v>
      </x:c>
      <x:c r="R7" s="39" t="str">
        <x:v>FakeMessageBus + MockThreatQuery + RiskResult/worker fixtures; no direct DB/core call from worker</x:v>
      </x:c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W01</x:v>
      </x:c>
      <x:c r="B8" s="41" t="n">
        <x:v>46301</x:v>
      </x:c>
      <x:c r="C8" s="41" t="n">
        <x:v>46307</x:v>
      </x:c>
      <x:c r="D8" s="39" t="str">
        <x:v>P1 · MVP</x:v>
      </x:c>
      <x:c r="E8" s="39" t="str">
        <x:v>Kiên</x:v>
      </x:c>
      <x:c r="F8" s="39" t="str">
        <x:v>I-WP12</x:v>
      </x:c>
      <x:c r="G8" s="39" t="str">
        <x:v>M12</x:v>
      </x:c>
      <x:c r="H8" s="39" t="str">
        <x:v>Scan Lifecycle, Event Envelope, Retry &amp; Idempotency</x:v>
      </x:c>
      <x:c r="I8" s="39" t="str">
        <x:v>MVP Candidate</x:v>
      </x:c>
      <x:c r="J8" s="39" t="str">
        <x:v>v0.1.0 · MVP</x:v>
      </x:c>
      <x:c r="K8" s="39" t="n">
        <x:v>15</x:v>
      </x:c>
      <x:c r="L8" s="39" t="str">
        <x:v>☐</x:v>
      </x:c>
      <x:c r="M8" s="39" t="str">
        <x:v>Chưa bắt đầu</x:v>
      </x:c>
      <x:c r="N8" s="40" t="n">
        <x:f>IF(L8="☑",1,IF(M8="Done",1,IF(M8="Đang làm",0.5,IF(M8="Blocked",0.25,0))))</x:f>
        <x:v>0</x:v>
      </x:c>
      <x:c r="O8" s="39" t="str"/>
      <x:c r="P8" s="39" t="str"/>
      <x:c r="Q8" s="39" t="str">
        <x:v>M12-F005, M12-F006, M12-F007, M12-F008, M12-F012</x:v>
      </x:c>
      <x:c r="R8" s="39" t="str">
        <x:v>FakeMessageBus + worker/AI/nested-scan/race fixtures + in-memory repositories</x:v>
      </x:c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W01</x:v>
      </x:c>
      <x:c r="B9" s="41" t="n">
        <x:v>46301</x:v>
      </x:c>
      <x:c r="C9" s="41" t="n">
        <x:v>46307</x:v>
      </x:c>
      <x:c r="D9" s="39" t="str">
        <x:v>P1 · MVP</x:v>
      </x:c>
      <x:c r="E9" s="39" t="str">
        <x:v>Thắng</x:v>
      </x:c>
      <x:c r="F9" s="39" t="str">
        <x:v>T-WP02</x:v>
      </x:c>
      <x:c r="G9" s="39" t="str">
        <x:v>M03</x:v>
      </x:c>
      <x:c r="H9" s="39" t="str">
        <x:v>Async Text Scan, Scam Patterns &amp; User Result UX</x:v>
      </x:c>
      <x:c r="I9" s="39" t="str">
        <x:v>MVP Candidate</x:v>
      </x:c>
      <x:c r="J9" s="39" t="str">
        <x:v>v0.1.0 · MVP</x:v>
      </x:c>
      <x:c r="K9" s="39" t="n">
        <x:v>18</x:v>
      </x:c>
      <x:c r="L9" s="39" t="str">
        <x:v>☐</x:v>
      </x:c>
      <x:c r="M9" s="39" t="str">
        <x:v>Chưa bắt đầu</x:v>
      </x:c>
      <x:c r="N9" s="40" t="n">
        <x:f>IF(L9="☑",1,IF(M9="Done",1,IF(M9="Đang làm",0.5,IF(M9="Blocked",0.25,0))))</x:f>
        <x:v>0</x:v>
      </x:c>
      <x:c r="O9" s="39" t="str"/>
      <x:c r="P9" s="39" t="str"/>
      <x:c r="Q9" s="39" t="str">
        <x:v>M03-F008, M03-F009, M03-F010, M03-F011, M03-F012, M03-F013, M03-F014, M03-F015</x:v>
      </x:c>
      <x:c r="R9" s="39" t="str">
        <x:v>FakeMessageBus + text/AI/derived-indicator fixtures + MockRiskEvaluationPort</x:v>
      </x:c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W02</x:v>
      </x:c>
      <x:c r="B10" s="41" t="n">
        <x:v>46308</x:v>
      </x:c>
      <x:c r="C10" s="41" t="n">
        <x:v>46314</x:v>
      </x:c>
      <x:c r="D10" s="39" t="str">
        <x:v>P1 · MVP</x:v>
      </x:c>
      <x:c r="E10" s="39" t="str">
        <x:v>Hùng</x:v>
      </x:c>
      <x:c r="F10" s="39" t="str">
        <x:v>H-WP05</x:v>
      </x:c>
      <x:c r="G10" s="39" t="str">
        <x:v>M01</x:v>
      </x:c>
      <x:c r="H10" s="39" t="str">
        <x:v>RBAC &amp; User Administration</x:v>
      </x:c>
      <x:c r="I10" s="39" t="str">
        <x:v>MVP Candidate</x:v>
      </x:c>
      <x:c r="J10" s="39" t="str">
        <x:v>v0.1.0 · MVP</x:v>
      </x:c>
      <x:c r="K10" s="39" t="n">
        <x:v>16</x:v>
      </x:c>
      <x:c r="L10" s="39" t="str">
        <x:v>☐</x:v>
      </x:c>
      <x:c r="M10" s="39" t="str">
        <x:v>Chưa bắt đầu</x:v>
      </x:c>
      <x:c r="N10" s="40" t="n">
        <x:f>IF(L10="☑",1,IF(M10="Done",1,IF(M10="Đang làm",0.5,IF(M10="Blocked",0.25,0))))</x:f>
        <x:v>0</x:v>
      </x:c>
      <x:c r="O10" s="39" t="str"/>
      <x:c r="P10" s="39" t="str"/>
      <x:c r="Q10" s="39" t="str">
        <x:v>M01-F021, M01-F022, M01-F023, M01-F024, M01-F025, M01-F026, M01-F027</x:v>
      </x:c>
      <x:c r="R10" s="39" t="str">
        <x:v>MockNotificationPort + FakeAccessContext/EntitlementContext; external IdP behind adapter</x:v>
      </x:c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W02</x:v>
      </x:c>
      <x:c r="B11" s="41" t="n">
        <x:v>46308</x:v>
      </x:c>
      <x:c r="C11" s="41" t="n">
        <x:v>46314</x:v>
      </x:c>
      <x:c r="D11" s="39" t="str">
        <x:v>P1 · MVP</x:v>
      </x:c>
      <x:c r="E11" s="39" t="str">
        <x:v>Khải</x:v>
      </x:c>
      <x:c r="F11" s="39" t="str">
        <x:v>K-WP08</x:v>
      </x:c>
      <x:c r="G11" s="39" t="str">
        <x:v>M02</x:v>
      </x:c>
      <x:c r="H11" s="39" t="str">
        <x:v>URL Worker Contract &amp; Reputation Enrichment Boundary</x:v>
      </x:c>
      <x:c r="I11" s="39" t="str">
        <x:v>MVP Candidate</x:v>
      </x:c>
      <x:c r="J11" s="39" t="str">
        <x:v>v0.1.0 · MVP</x:v>
      </x:c>
      <x:c r="K11" s="39" t="n">
        <x:v>12</x:v>
      </x:c>
      <x:c r="L11" s="39" t="str">
        <x:v>☐</x:v>
      </x:c>
      <x:c r="M11" s="39" t="str">
        <x:v>Chưa bắt đầu</x:v>
      </x:c>
      <x:c r="N11" s="40" t="n">
        <x:f>IF(L11="☑",1,IF(M11="Done",1,IF(M11="Đang làm",0.5,IF(M11="Blocked",0.25,0))))</x:f>
        <x:v>0</x:v>
      </x:c>
      <x:c r="O11" s="39" t="str"/>
      <x:c r="P11" s="39" t="str"/>
      <x:c r="Q11" s="39" t="str">
        <x:v>M02-F053, M02-F054, M02-F055, M02-F056</x:v>
      </x:c>
      <x:c r="R11" s="39" t="str">
        <x:v>FakeMessageBus + MockThreatQuery + RiskResult/worker fixtures; no direct DB/core call from worker</x:v>
      </x:c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 t="str">
        <x:v>W02</x:v>
      </x:c>
      <x:c r="B12" s="41" t="n">
        <x:v>46308</x:v>
      </x:c>
      <x:c r="C12" s="41" t="n">
        <x:v>46314</x:v>
      </x:c>
      <x:c r="D12" s="39" t="str">
        <x:v>P1 · MVP</x:v>
      </x:c>
      <x:c r="E12" s="39" t="str">
        <x:v>Kiên</x:v>
      </x:c>
      <x:c r="F12" s="39" t="str">
        <x:v>I-WP05</x:v>
      </x:c>
      <x:c r="G12" s="39" t="str">
        <x:v>M09</x:v>
      </x:c>
      <x:c r="H12" s="39" t="str">
        <x:v>Rule Evaluation Core &amp; Result Composition</x:v>
      </x:c>
      <x:c r="I12" s="39" t="str">
        <x:v>MVP Candidate</x:v>
      </x:c>
      <x:c r="J12" s="39" t="str">
        <x:v>v0.1.0 · MVP</x:v>
      </x:c>
      <x:c r="K12" s="39" t="n">
        <x:v>15</x:v>
      </x:c>
      <x:c r="L12" s="39" t="str">
        <x:v>☐</x:v>
      </x:c>
      <x:c r="M12" s="39" t="str">
        <x:v>Chưa bắt đầu</x:v>
      </x:c>
      <x:c r="N12" s="40" t="n">
        <x:f>IF(L12="☑",1,IF(M12="Done",1,IF(M12="Đang làm",0.5,IF(M12="Blocked",0.25,0))))</x:f>
        <x:v>0</x:v>
      </x:c>
      <x:c r="O12" s="39" t="str"/>
      <x:c r="P12" s="39" t="str"/>
      <x:c r="Q12" s="39" t="str">
        <x:v>M09-F001, M09-F002, M09-F004, M09-F005, M09-F037</x:v>
      </x:c>
      <x:c r="R12" s="39" t="str">
        <x:v>UnifiedSignalSet fixtures + deterministic policy fixtures; expose RiskEvaluationPort</x:v>
      </x:c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9" t="str">
        <x:v>W02</x:v>
      </x:c>
      <x:c r="B13" s="41" t="n">
        <x:v>46308</x:v>
      </x:c>
      <x:c r="C13" s="41" t="n">
        <x:v>46314</x:v>
      </x:c>
      <x:c r="D13" s="39" t="str">
        <x:v>P1 · MVP</x:v>
      </x:c>
      <x:c r="E13" s="39" t="str">
        <x:v>Thắng</x:v>
      </x:c>
      <x:c r="F13" s="39" t="str">
        <x:v>T-WP12</x:v>
      </x:c>
      <x:c r="G13" s="39" t="str">
        <x:v>M06</x:v>
      </x:c>
      <x:c r="H13" s="39" t="str">
        <x:v>RiskResult Contract &amp; Presentation Components</x:v>
      </x:c>
      <x:c r="I13" s="39" t="str">
        <x:v>MVP Candidate</x:v>
      </x:c>
      <x:c r="J13" s="39" t="str">
        <x:v>v0.1.0 · MVP</x:v>
      </x:c>
      <x:c r="K13" s="39" t="n">
        <x:v>13</x:v>
      </x:c>
      <x:c r="L13" s="39" t="str">
        <x:v>☐</x:v>
      </x:c>
      <x:c r="M13" s="39" t="str">
        <x:v>Chưa bắt đầu</x:v>
      </x:c>
      <x:c r="N13" s="40" t="n">
        <x:f>IF(L13="☑",1,IF(M13="Done",1,IF(M13="Đang làm",0.5,IF(M13="Blocked",0.25,0))))</x:f>
        <x:v>0</x:v>
      </x:c>
      <x:c r="O13" s="39" t="str"/>
      <x:c r="P13" s="39" t="str"/>
      <x:c r="Q13" s="39" t="str">
        <x:v>M06-F011, M06-F012, M06-F013, M06-F014, M06-F020</x:v>
      </x:c>
      <x:c r="R13" s="39" t="str">
        <x:v>RiskResult/history fixtures + mock object storage/export event + MockNotificationPort</x:v>
      </x:c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9" t="str">
        <x:v>W03</x:v>
      </x:c>
      <x:c r="B14" s="41" t="n">
        <x:v>46315</x:v>
      </x:c>
      <x:c r="C14" s="41" t="n">
        <x:v>46321</x:v>
      </x:c>
      <x:c r="D14" s="39" t="str">
        <x:v>P1 · MVP</x:v>
      </x:c>
      <x:c r="E14" s="39" t="str">
        <x:v>Hùng</x:v>
      </x:c>
      <x:c r="F14" s="39" t="str">
        <x:v>H-WP07</x:v>
      </x:c>
      <x:c r="G14" s="39" t="str">
        <x:v>M01</x:v>
      </x:c>
      <x:c r="H14" s="39" t="str">
        <x:v>Abuse Protection &amp; Account Quota</x:v>
      </x:c>
      <x:c r="I14" s="39" t="str">
        <x:v>MVP Candidate</x:v>
      </x:c>
      <x:c r="J14" s="39" t="str">
        <x:v>v0.1.0 · MVP</x:v>
      </x:c>
      <x:c r="K14" s="39" t="n">
        <x:v>10</x:v>
      </x:c>
      <x:c r="L14" s="39" t="str">
        <x:v>☐</x:v>
      </x:c>
      <x:c r="M14" s="39" t="str">
        <x:v>Chưa bắt đầu</x:v>
      </x:c>
      <x:c r="N14" s="40" t="n">
        <x:f>IF(L14="☑",1,IF(M14="Done",1,IF(M14="Đang làm",0.5,IF(M14="Blocked",0.25,0))))</x:f>
        <x:v>0</x:v>
      </x:c>
      <x:c r="O14" s="39" t="str"/>
      <x:c r="P14" s="39" t="str"/>
      <x:c r="Q14" s="39" t="str">
        <x:v>M01-F034, M01-F035, M01-F036, M01-F037</x:v>
      </x:c>
      <x:c r="R14" s="39" t="str">
        <x:v>MockNotificationPort + FakeAccessContext/EntitlementContext; external IdP behind adapter</x:v>
      </x:c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9" t="str">
        <x:v>W03</x:v>
      </x:c>
      <x:c r="B15" s="41" t="n">
        <x:v>46315</x:v>
      </x:c>
      <x:c r="C15" s="41" t="n">
        <x:v>46321</x:v>
      </x:c>
      <x:c r="D15" s="39" t="str">
        <x:v>P1 · MVP</x:v>
      </x:c>
      <x:c r="E15" s="39" t="str">
        <x:v>Khải</x:v>
      </x:c>
      <x:c r="F15" s="39" t="str">
        <x:v>K-WP04</x:v>
      </x:c>
      <x:c r="G15" s="39" t="str">
        <x:v>M02</x:v>
      </x:c>
      <x:c r="H15" s="39" t="str">
        <x:v>TLS, Certificate &amp; Security Header Analysis</x:v>
      </x:c>
      <x:c r="I15" s="39" t="str">
        <x:v>MVP Candidate</x:v>
      </x:c>
      <x:c r="J15" s="39" t="str">
        <x:v>v0.1.0 · MVP</x:v>
      </x:c>
      <x:c r="K15" s="39" t="n">
        <x:v>14</x:v>
      </x:c>
      <x:c r="L15" s="39" t="str">
        <x:v>☐</x:v>
      </x:c>
      <x:c r="M15" s="39" t="str">
        <x:v>Chưa bắt đầu</x:v>
      </x:c>
      <x:c r="N15" s="40" t="n">
        <x:f>IF(L15="☑",1,IF(M15="Done",1,IF(M15="Đang làm",0.5,IF(M15="Blocked",0.25,0))))</x:f>
        <x:v>0</x:v>
      </x:c>
      <x:c r="O15" s="39" t="str"/>
      <x:c r="P15" s="39" t="str"/>
      <x:c r="Q15" s="39" t="str">
        <x:v>M02-F024, M02-F025, M02-F026, M02-F027, M02-F028, M02-F029, M02-F030</x:v>
      </x:c>
      <x:c r="R15" s="39" t="str">
        <x:v>FakeMessageBus + MockThreatQuery + RiskResult/worker fixtures; no direct DB/core call from worker</x:v>
      </x:c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9" t="str">
        <x:v>W03</x:v>
      </x:c>
      <x:c r="B16" s="41" t="n">
        <x:v>46315</x:v>
      </x:c>
      <x:c r="C16" s="41" t="n">
        <x:v>46321</x:v>
      </x:c>
      <x:c r="D16" s="39" t="str">
        <x:v>P1 · MVP</x:v>
      </x:c>
      <x:c r="E16" s="39" t="str">
        <x:v>Kiên</x:v>
      </x:c>
      <x:c r="F16" s="39" t="str">
        <x:v>I-WP06</x:v>
      </x:c>
      <x:c r="G16" s="39" t="str">
        <x:v>M09</x:v>
      </x:c>
      <x:c r="H16" s="39" t="str">
        <x:v>Risk Fusion Policy, Thresholds &amp; Missing-Signal Handling</x:v>
      </x:c>
      <x:c r="I16" s="39" t="str">
        <x:v>MVP Candidate</x:v>
      </x:c>
      <x:c r="J16" s="39" t="str">
        <x:v>v0.1.0 · MVP</x:v>
      </x:c>
      <x:c r="K16" s="39" t="n">
        <x:v>14</x:v>
      </x:c>
      <x:c r="L16" s="39" t="str">
        <x:v>☐</x:v>
      </x:c>
      <x:c r="M16" s="39" t="str">
        <x:v>Chưa bắt đầu</x:v>
      </x:c>
      <x:c r="N16" s="40" t="n">
        <x:f>IF(L16="☑",1,IF(M16="Done",1,IF(M16="Đang làm",0.5,IF(M16="Blocked",0.25,0))))</x:f>
        <x:v>0</x:v>
      </x:c>
      <x:c r="O16" s="39" t="str"/>
      <x:c r="P16" s="39" t="str"/>
      <x:c r="Q16" s="39" t="str">
        <x:v>M09-F003, M09-F006, M09-F007, M09-F008, M09-F038, M09-F039</x:v>
      </x:c>
      <x:c r="R16" s="39" t="str">
        <x:v>UnifiedSignalSet fixtures + deterministic policy fixtures; expose RiskEvaluationPort</x:v>
      </x:c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9" t="str">
        <x:v>W03</x:v>
      </x:c>
      <x:c r="B17" s="41" t="n">
        <x:v>46315</x:v>
      </x:c>
      <x:c r="C17" s="41" t="n">
        <x:v>46321</x:v>
      </x:c>
      <x:c r="D17" s="39" t="str">
        <x:v>P1 · MVP</x:v>
      </x:c>
      <x:c r="E17" s="39" t="str">
        <x:v>Thắng</x:v>
      </x:c>
      <x:c r="F17" s="39" t="str">
        <x:v>T-WP10</x:v>
      </x:c>
      <x:c r="G17" s="39" t="str">
        <x:v>M06</x:v>
      </x:c>
      <x:c r="H17" s="39" t="str">
        <x:v>History Query, Access Control &amp; Pagination</x:v>
      </x:c>
      <x:c r="I17" s="39" t="str">
        <x:v>MVP Candidate</x:v>
      </x:c>
      <x:c r="J17" s="39" t="str">
        <x:v>v0.1.0 · MVP</x:v>
      </x:c>
      <x:c r="K17" s="39" t="n">
        <x:v>11</x:v>
      </x:c>
      <x:c r="L17" s="39" t="str">
        <x:v>☐</x:v>
      </x:c>
      <x:c r="M17" s="39" t="str">
        <x:v>Chưa bắt đầu</x:v>
      </x:c>
      <x:c r="N17" s="40" t="n">
        <x:f>IF(L17="☑",1,IF(M17="Done",1,IF(M17="Đang làm",0.5,IF(M17="Blocked",0.25,0))))</x:f>
        <x:v>0</x:v>
      </x:c>
      <x:c r="O17" s="39" t="str"/>
      <x:c r="P17" s="39" t="str"/>
      <x:c r="Q17" s="39" t="str">
        <x:v>M06-F003, M06-F004, M06-F005, M06-F006</x:v>
      </x:c>
      <x:c r="R17" s="39" t="str">
        <x:v>RiskResult/history fixtures + mock object storage/export event + MockNotificationPort</x:v>
      </x:c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9" t="str">
        <x:v>W04</x:v>
      </x:c>
      <x:c r="B18" s="41" t="n">
        <x:v>46322</x:v>
      </x:c>
      <x:c r="C18" s="41" t="n">
        <x:v>46328</x:v>
      </x:c>
      <x:c r="D18" s="39" t="str">
        <x:v>P2 · Core Expansion</x:v>
      </x:c>
      <x:c r="E18" s="39" t="str">
        <x:v>Hùng</x:v>
      </x:c>
      <x:c r="F18" s="39" t="str">
        <x:v>H-WP12</x:v>
      </x:c>
      <x:c r="G18" s="39" t="str">
        <x:v>M13</x:v>
      </x:c>
      <x:c r="H18" s="39" t="str">
        <x:v>Data Privacy &amp; Secret Baseline</x:v>
      </x:c>
      <x:c r="I18" s="39" t="str">
        <x:v>Core / Expansion</x:v>
      </x:c>
      <x:c r="J18" s="39" t="str">
        <x:v>v0.2.0 · Core Expansion 1</x:v>
      </x:c>
      <x:c r="K18" s="39" t="n">
        <x:v>12</x:v>
      </x:c>
      <x:c r="L18" s="39" t="str">
        <x:v>☐</x:v>
      </x:c>
      <x:c r="M18" s="39" t="str">
        <x:v>Chưa bắt đầu</x:v>
      </x:c>
      <x:c r="N18" s="40" t="n">
        <x:f>IF(L18="☑",1,IF(M18="Done",1,IF(M18="Đang làm",0.5,IF(M18="Blocked",0.25,0))))</x:f>
        <x:v>0</x:v>
      </x:c>
      <x:c r="O18" s="39" t="str"/>
      <x:c r="P18" s="39" t="str"/>
      <x:c r="Q18" s="39" t="str">
        <x:v>M13-F001, M13-F002, M13-F005, M13-F035</x:v>
      </x:c>
      <x:c r="R18" s="39" t="str">
        <x:v>shared local compose + env templates + service test doubles; no business logic ownership</x:v>
      </x:c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9" t="str">
        <x:v>W04</x:v>
      </x:c>
      <x:c r="B19" s="41" t="n">
        <x:v>46322</x:v>
      </x:c>
      <x:c r="C19" s="41" t="n">
        <x:v>46328</x:v>
      </x:c>
      <x:c r="D19" s="39" t="str">
        <x:v>P2 · Core Expansion</x:v>
      </x:c>
      <x:c r="E19" s="39" t="str">
        <x:v>Khải</x:v>
      </x:c>
      <x:c r="F19" s="39" t="str">
        <x:v>K-WP05</x:v>
      </x:c>
      <x:c r="G19" s="39" t="str">
        <x:v>M02</x:v>
      </x:c>
      <x:c r="H19" s="39" t="str">
        <x:v>HTML/Form &amp; Web Content Analysis</x:v>
      </x:c>
      <x:c r="I19" s="39" t="str">
        <x:v>Core / Expansion</x:v>
      </x:c>
      <x:c r="J19" s="39" t="str">
        <x:v>v0.2.0 · Core Expansion 1</x:v>
      </x:c>
      <x:c r="K19" s="39" t="n">
        <x:v>17</x:v>
      </x:c>
      <x:c r="L19" s="39" t="str">
        <x:v>☐</x:v>
      </x:c>
      <x:c r="M19" s="39" t="str">
        <x:v>Chưa bắt đầu</x:v>
      </x:c>
      <x:c r="N19" s="40" t="n">
        <x:f>IF(L19="☑",1,IF(M19="Done",1,IF(M19="Đang làm",0.5,IF(M19="Blocked",0.25,0))))</x:f>
        <x:v>0</x:v>
      </x:c>
      <x:c r="O19" s="39" t="str"/>
      <x:c r="P19" s="39" t="str"/>
      <x:c r="Q19" s="39" t="str">
        <x:v>M02-F031, M02-F032, M02-F033, M02-F034, M02-F035, M02-F036, M02-F037, M02-F038</x:v>
      </x:c>
      <x:c r="R19" s="39" t="str">
        <x:v>FakeMessageBus + MockThreatQuery + RiskResult/worker fixtures; no direct DB/core call from worker</x:v>
      </x:c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9" t="str">
        <x:v>W04</x:v>
      </x:c>
      <x:c r="B20" s="41" t="n">
        <x:v>46322</x:v>
      </x:c>
      <x:c r="C20" s="41" t="n">
        <x:v>46328</x:v>
      </x:c>
      <x:c r="D20" s="39" t="str">
        <x:v>P2 · Core Expansion</x:v>
      </x:c>
      <x:c r="E20" s="39" t="str">
        <x:v>Kiên</x:v>
      </x:c>
      <x:c r="F20" s="39" t="str">
        <x:v>I-WP15</x:v>
      </x:c>
      <x:c r="G20" s="39" t="str">
        <x:v>M14</x:v>
      </x:c>
      <x:c r="H20" s="39" t="str">
        <x:v>Security &amp; Business Audit Capture</x:v>
      </x:c>
      <x:c r="I20" s="39" t="str">
        <x:v>Core / Expansion</x:v>
      </x:c>
      <x:c r="J20" s="39" t="str">
        <x:v>v0.2.0 · Core Expansion 1</x:v>
      </x:c>
      <x:c r="K20" s="39" t="n">
        <x:v>12</x:v>
      </x:c>
      <x:c r="L20" s="39" t="str">
        <x:v>☐</x:v>
      </x:c>
      <x:c r="M20" s="39" t="str">
        <x:v>Chưa bắt đầu</x:v>
      </x:c>
      <x:c r="N20" s="40" t="n">
        <x:f>IF(L20="☑",1,IF(M20="Done",1,IF(M20="Đang làm",0.5,IF(M20="Blocked",0.25,0))))</x:f>
        <x:v>0</x:v>
      </x:c>
      <x:c r="O20" s="39" t="str"/>
      <x:c r="P20" s="39" t="str"/>
      <x:c r="Q20" s="39" t="str">
        <x:v>M14-F001, M14-F002, M14-F003, M14-F011</x:v>
      </x:c>
      <x:c r="R20" s="39" t="str">
        <x:v>InMemoryAuditPort + mock admin/security events + correlation fixtures</x:v>
      </x:c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9" t="str">
        <x:v>W04</x:v>
      </x:c>
      <x:c r="B21" s="41" t="n">
        <x:v>46322</x:v>
      </x:c>
      <x:c r="C21" s="41" t="n">
        <x:v>46328</x:v>
      </x:c>
      <x:c r="D21" s="39" t="str">
        <x:v>P2 · Core Expansion</x:v>
      </x:c>
      <x:c r="E21" s="39" t="str">
        <x:v>Thắng</x:v>
      </x:c>
      <x:c r="F21" s="39" t="str">
        <x:v>T-WP07</x:v>
      </x:c>
      <x:c r="G21" s="39" t="str">
        <x:v>M03</x:v>
      </x:c>
      <x:c r="H21" s="39" t="str">
        <x:v>Text Input Privacy &amp; Worker Contract</x:v>
      </x:c>
      <x:c r="I21" s="39" t="str">
        <x:v>Core / Expansion</x:v>
      </x:c>
      <x:c r="J21" s="39" t="str">
        <x:v>v0.2.0 · Core Expansion 1</x:v>
      </x:c>
      <x:c r="K21" s="39" t="n">
        <x:v>14</x:v>
      </x:c>
      <x:c r="L21" s="39" t="str">
        <x:v>☐</x:v>
      </x:c>
      <x:c r="M21" s="39" t="str">
        <x:v>Chưa bắt đầu</x:v>
      </x:c>
      <x:c r="N21" s="40" t="n">
        <x:f>IF(L21="☑",1,IF(M21="Done",1,IF(M21="Đang làm",0.5,IF(M21="Blocked",0.25,0))))</x:f>
        <x:v>0</x:v>
      </x:c>
      <x:c r="O21" s="39" t="str"/>
      <x:c r="P21" s="39" t="str"/>
      <x:c r="Q21" s="39" t="str">
        <x:v>M03-F044, M03-F045, M03-F046, M03-F047, M03-F048</x:v>
      </x:c>
      <x:c r="R21" s="39" t="str">
        <x:v>FakeMessageBus + text/AI/derived-indicator fixtures + MockRiskEvaluationPort</x:v>
      </x:c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9" t="str">
        <x:v>W05</x:v>
      </x:c>
      <x:c r="B22" s="41" t="n">
        <x:v>46329</x:v>
      </x:c>
      <x:c r="C22" s="41" t="n">
        <x:v>46335</x:v>
      </x:c>
      <x:c r="D22" s="39" t="str">
        <x:v>P2 · Core Expansion</x:v>
      </x:c>
      <x:c r="E22" s="39" t="str">
        <x:v>Hùng</x:v>
      </x:c>
      <x:c r="F22" s="39" t="str">
        <x:v>H-WP13</x:v>
      </x:c>
      <x:c r="G22" s="39" t="str">
        <x:v>M13</x:v>
      </x:c>
      <x:c r="H22" s="39" t="str">
        <x:v>Local Runtime, Containers &amp; Service Readiness</x:v>
      </x:c>
      <x:c r="I22" s="39" t="str">
        <x:v>Core / Expansion</x:v>
      </x:c>
      <x:c r="J22" s="39" t="str">
        <x:v>v0.2.0 · Core Expansion 1</x:v>
      </x:c>
      <x:c r="K22" s="39" t="n">
        <x:v>18</x:v>
      </x:c>
      <x:c r="L22" s="39" t="str">
        <x:v>☐</x:v>
      </x:c>
      <x:c r="M22" s="39" t="str">
        <x:v>Chưa bắt đầu</x:v>
      </x:c>
      <x:c r="N22" s="40" t="n">
        <x:f>IF(L22="☑",1,IF(M22="Done",1,IF(M22="Đang làm",0.5,IF(M22="Blocked",0.25,0))))</x:f>
        <x:v>0</x:v>
      </x:c>
      <x:c r="O22" s="39" t="str"/>
      <x:c r="P22" s="39" t="str"/>
      <x:c r="Q22" s="39" t="str">
        <x:v>M13-F003, M13-F004, M13-F006, M13-F007, M13-F008, M13-F009, M13-F010, M13-F011</x:v>
      </x:c>
      <x:c r="R22" s="39" t="str">
        <x:v>shared local compose + env templates + service test doubles; no business logic ownership</x:v>
      </x:c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9" t="str">
        <x:v>W05</x:v>
      </x:c>
      <x:c r="B23" s="41" t="n">
        <x:v>46329</x:v>
      </x:c>
      <x:c r="C23" s="41" t="n">
        <x:v>46335</x:v>
      </x:c>
      <x:c r="D23" s="39" t="str">
        <x:v>P2 · Core Expansion</x:v>
      </x:c>
      <x:c r="E23" s="39" t="str">
        <x:v>Khải</x:v>
      </x:c>
      <x:c r="F23" s="39" t="str">
        <x:v>K-WP09</x:v>
      </x:c>
      <x:c r="G23" s="39" t="str">
        <x:v>M04</x:v>
      </x:c>
      <x:c r="H23" s="39" t="str">
        <x:v>Phone Reputation Check</x:v>
      </x:c>
      <x:c r="I23" s="39" t="str">
        <x:v>Core / Expansion</x:v>
      </x:c>
      <x:c r="J23" s="39" t="str">
        <x:v>v0.2.0 · Core Expansion 1</x:v>
      </x:c>
      <x:c r="K23" s="39" t="n">
        <x:v>17</x:v>
      </x:c>
      <x:c r="L23" s="39" t="str">
        <x:v>☐</x:v>
      </x:c>
      <x:c r="M23" s="39" t="str">
        <x:v>Chưa bắt đầu</x:v>
      </x:c>
      <x:c r="N23" s="40" t="n">
        <x:f>IF(L23="☑",1,IF(M23="Done",1,IF(M23="Đang làm",0.5,IF(M23="Blocked",0.25,0))))</x:f>
        <x:v>0</x:v>
      </x:c>
      <x:c r="O23" s="39" t="str"/>
      <x:c r="P23" s="39" t="str"/>
      <x:c r="Q23" s="39" t="str">
        <x:v>M04-F001, M04-F002, M04-F003, M04-F004, M04-F005, M04-F006, M04-F007, M04-F008</x:v>
      </x:c>
      <x:c r="R23" s="39" t="str">
        <x:v>MockThreatQuery + entity fixtures + fake scan-platform adapter</x:v>
      </x:c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9" t="str">
        <x:v>W05</x:v>
      </x:c>
      <x:c r="B24" s="41" t="n">
        <x:v>46329</x:v>
      </x:c>
      <x:c r="C24" s="41" t="n">
        <x:v>46335</x:v>
      </x:c>
      <x:c r="D24" s="39" t="str">
        <x:v>P2 · Core Expansion</x:v>
      </x:c>
      <x:c r="E24" s="39" t="str">
        <x:v>Kiên</x:v>
      </x:c>
      <x:c r="F24" s="39" t="str">
        <x:v>I-WP04</x:v>
      </x:c>
      <x:c r="G24" s="39" t="str">
        <x:v>M08</x:v>
      </x:c>
      <x:c r="H24" s="39" t="str">
        <x:v>Core ThreatQuery &amp; Deferred Reputation Enrichment</x:v>
      </x:c>
      <x:c r="I24" s="39" t="str">
        <x:v>Core / Expansion</x:v>
      </x:c>
      <x:c r="J24" s="39" t="str">
        <x:v>v0.2.0 · Core Expansion 1</x:v>
      </x:c>
      <x:c r="K24" s="39" t="n">
        <x:v>9</x:v>
      </x:c>
      <x:c r="L24" s="39" t="str">
        <x:v>☐</x:v>
      </x:c>
      <x:c r="M24" s="39" t="str">
        <x:v>Chưa bắt đầu</x:v>
      </x:c>
      <x:c r="N24" s="40" t="n">
        <x:f>IF(L24="☑",1,IF(M24="Done",1,IF(M24="Đang làm",0.5,IF(M24="Blocked",0.25,0))))</x:f>
        <x:v>0</x:v>
      </x:c>
      <x:c r="O24" s="39" t="str"/>
      <x:c r="P24" s="39" t="str"/>
      <x:c r="Q24" s="39" t="str">
        <x:v>M08-F025, M08-F026, M08-F027</x:v>
      </x:c>
      <x:c r="R24" s="39" t="str">
        <x:v>sample threat feeds + in-memory repository/cache adapter; core-only ThreatQuery contract</x:v>
      </x:c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9" t="str">
        <x:v>W05</x:v>
      </x:c>
      <x:c r="B25" s="41" t="n">
        <x:v>46329</x:v>
      </x:c>
      <x:c r="C25" s="41" t="n">
        <x:v>46335</x:v>
      </x:c>
      <x:c r="D25" s="39" t="str">
        <x:v>P2 · Core Expansion</x:v>
      </x:c>
      <x:c r="E25" s="39" t="str">
        <x:v>Thắng</x:v>
      </x:c>
      <x:c r="F25" s="39" t="str">
        <x:v>T-WP03</x:v>
      </x:c>
      <x:c r="G25" s="39" t="str">
        <x:v>M03</x:v>
      </x:c>
      <x:c r="H25" s="39" t="str">
        <x:v>Entity Extraction from Text</x:v>
      </x:c>
      <x:c r="I25" s="39" t="str">
        <x:v>Core / Expansion</x:v>
      </x:c>
      <x:c r="J25" s="39" t="str">
        <x:v>v0.2.0 · Core Expansion 1</x:v>
      </x:c>
      <x:c r="K25" s="39" t="n">
        <x:v>20</x:v>
      </x:c>
      <x:c r="L25" s="39" t="str">
        <x:v>☐</x:v>
      </x:c>
      <x:c r="M25" s="39" t="str">
        <x:v>Chưa bắt đầu</x:v>
      </x:c>
      <x:c r="N25" s="40" t="n">
        <x:f>IF(L25="☑",1,IF(M25="Done",1,IF(M25="Đang làm",0.5,IF(M25="Blocked",0.25,0))))</x:f>
        <x:v>0</x:v>
      </x:c>
      <x:c r="O25" s="39" t="str"/>
      <x:c r="P25" s="39" t="str"/>
      <x:c r="Q25" s="39" t="str">
        <x:v>M03-F016, M03-F017, M03-F018, M03-F019, M03-F020, M03-F021, M03-F022, M03-F023</x:v>
      </x:c>
      <x:c r="R25" s="39" t="str">
        <x:v>FakeMessageBus + text/AI/derived-indicator fixtures + MockRiskEvaluationPort</x:v>
      </x:c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9" t="str">
        <x:v>W06</x:v>
      </x:c>
      <x:c r="B26" s="41" t="n">
        <x:v>46336</x:v>
      </x:c>
      <x:c r="C26" s="41" t="n">
        <x:v>46342</x:v>
      </x:c>
      <x:c r="D26" s="39" t="str">
        <x:v>P2 · Core Expansion</x:v>
      </x:c>
      <x:c r="E26" s="39" t="str">
        <x:v>Hùng</x:v>
      </x:c>
      <x:c r="F26" s="39" t="str">
        <x:v>H-WP17</x:v>
      </x:c>
      <x:c r="G26" s="39" t="str">
        <x:v>M13</x:v>
      </x:c>
      <x:c r="H26" s="39" t="str">
        <x:v>Core Infrastructure Topology, Storage &amp; Network Boundaries</x:v>
      </x:c>
      <x:c r="I26" s="39" t="str">
        <x:v>Core / Expansion</x:v>
      </x:c>
      <x:c r="J26" s="39" t="str">
        <x:v>v0.2.0 · Core Expansion 1</x:v>
      </x:c>
      <x:c r="K26" s="39" t="n">
        <x:v>15</x:v>
      </x:c>
      <x:c r="L26" s="39" t="str">
        <x:v>☐</x:v>
      </x:c>
      <x:c r="M26" s="39" t="str">
        <x:v>Chưa bắt đầu</x:v>
      </x:c>
      <x:c r="N26" s="40" t="n">
        <x:f>IF(L26="☑",1,IF(M26="Done",1,IF(M26="Đang làm",0.5,IF(M26="Blocked",0.25,0))))</x:f>
        <x:v>0</x:v>
      </x:c>
      <x:c r="O26" s="39" t="str"/>
      <x:c r="P26" s="39" t="str"/>
      <x:c r="Q26" s="39" t="str">
        <x:v>M13-F030, M13-F031, M13-F032, M13-F033, M13-F034</x:v>
      </x:c>
      <x:c r="R26" s="39" t="str">
        <x:v>shared local compose + env templates + service test doubles; no business logic ownership</x:v>
      </x:c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9" t="str">
        <x:v>W06</x:v>
      </x:c>
      <x:c r="B27" s="41" t="n">
        <x:v>46336</x:v>
      </x:c>
      <x:c r="C27" s="41" t="n">
        <x:v>46342</x:v>
      </x:c>
      <x:c r="D27" s="39" t="str">
        <x:v>P2 · Core Expansion</x:v>
      </x:c>
      <x:c r="E27" s="39" t="str">
        <x:v>Khải</x:v>
      </x:c>
      <x:c r="F27" s="39" t="str">
        <x:v>K-WP10</x:v>
      </x:c>
      <x:c r="G27" s="39" t="str">
        <x:v>M04</x:v>
      </x:c>
      <x:c r="H27" s="39" t="str">
        <x:v>Bank Account Reputation Check</x:v>
      </x:c>
      <x:c r="I27" s="39" t="str">
        <x:v>Core / Expansion</x:v>
      </x:c>
      <x:c r="J27" s="39" t="str">
        <x:v>v0.2.0 · Core Expansion 1</x:v>
      </x:c>
      <x:c r="K27" s="39" t="n">
        <x:v>17</x:v>
      </x:c>
      <x:c r="L27" s="39" t="str">
        <x:v>☐</x:v>
      </x:c>
      <x:c r="M27" s="39" t="str">
        <x:v>Chưa bắt đầu</x:v>
      </x:c>
      <x:c r="N27" s="40" t="n">
        <x:f>IF(L27="☑",1,IF(M27="Done",1,IF(M27="Đang làm",0.5,IF(M27="Blocked",0.25,0))))</x:f>
        <x:v>0</x:v>
      </x:c>
      <x:c r="O27" s="39" t="str"/>
      <x:c r="P27" s="39" t="str"/>
      <x:c r="Q27" s="39" t="str">
        <x:v>M04-F009, M04-F010, M04-F011, M04-F012, M04-F013, M04-F014, M04-F015, M04-F016</x:v>
      </x:c>
      <x:c r="R27" s="39" t="str">
        <x:v>MockThreatQuery + entity fixtures + fake scan-platform adapter</x:v>
      </x:c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9" t="str">
        <x:v>W06</x:v>
      </x:c>
      <x:c r="B28" s="41" t="n">
        <x:v>46336</x:v>
      </x:c>
      <x:c r="C28" s="41" t="n">
        <x:v>46342</x:v>
      </x:c>
      <x:c r="D28" s="39" t="str">
        <x:v>P2 · Core Expansion</x:v>
      </x:c>
      <x:c r="E28" s="39" t="str">
        <x:v>Kiên</x:v>
      </x:c>
      <x:c r="F28" s="39" t="str">
        <x:v>I-WP13</x:v>
      </x:c>
      <x:c r="G28" s="39" t="str">
        <x:v>M12</x:v>
      </x:c>
      <x:c r="H28" s="39" t="str">
        <x:v>Nested Scan Orchestration &amp; Derived Indicators</x:v>
      </x:c>
      <x:c r="I28" s="39" t="str">
        <x:v>Core / Expansion</x:v>
      </x:c>
      <x:c r="J28" s="39" t="str">
        <x:v>v0.2.0 · Core Expansion 1</x:v>
      </x:c>
      <x:c r="K28" s="39" t="n">
        <x:v>12</x:v>
      </x:c>
      <x:c r="L28" s="39" t="str">
        <x:v>☐</x:v>
      </x:c>
      <x:c r="M28" s="39" t="str">
        <x:v>Chưa bắt đầu</x:v>
      </x:c>
      <x:c r="N28" s="40" t="n">
        <x:f>IF(L28="☑",1,IF(M28="Done",1,IF(M28="Đang làm",0.5,IF(M28="Blocked",0.25,0))))</x:f>
        <x:v>0</x:v>
      </x:c>
      <x:c r="O28" s="39" t="str"/>
      <x:c r="P28" s="39" t="str"/>
      <x:c r="Q28" s="39" t="str">
        <x:v>M12-F009, M12-F010, M12-F011, M12-F017</x:v>
      </x:c>
      <x:c r="R28" s="39" t="str">
        <x:v>FakeMessageBus + worker/AI/nested-scan/race fixtures + in-memory repositories</x:v>
      </x:c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9" t="str">
        <x:v>W06</x:v>
      </x:c>
      <x:c r="B29" s="41" t="n">
        <x:v>46336</x:v>
      </x:c>
      <x:c r="C29" s="41" t="n">
        <x:v>46342</x:v>
      </x:c>
      <x:c r="D29" s="39" t="str">
        <x:v>P2 · Core Expansion</x:v>
      </x:c>
      <x:c r="E29" s="39" t="str">
        <x:v>Thắng</x:v>
      </x:c>
      <x:c r="F29" s="39" t="str">
        <x:v>T-WP04</x:v>
      </x:c>
      <x:c r="G29" s="39" t="str">
        <x:v>M03</x:v>
      </x:c>
      <x:c r="H29" s="39" t="str">
        <x:v>Scam Taxonomy &amp; User-facing Classification</x:v>
      </x:c>
      <x:c r="I29" s="39" t="str">
        <x:v>Core / Expansion</x:v>
      </x:c>
      <x:c r="J29" s="39" t="str">
        <x:v>v0.2.0 · Core Expansion 1</x:v>
      </x:c>
      <x:c r="K29" s="39" t="n">
        <x:v>12</x:v>
      </x:c>
      <x:c r="L29" s="39" t="str">
        <x:v>☐</x:v>
      </x:c>
      <x:c r="M29" s="39" t="str">
        <x:v>Chưa bắt đầu</x:v>
      </x:c>
      <x:c r="N29" s="40" t="n">
        <x:f>IF(L29="☑",1,IF(M29="Done",1,IF(M29="Đang làm",0.5,IF(M29="Blocked",0.25,0))))</x:f>
        <x:v>0</x:v>
      </x:c>
      <x:c r="O29" s="39" t="str"/>
      <x:c r="P29" s="39" t="str"/>
      <x:c r="Q29" s="39" t="str">
        <x:v>M03-F024, M03-F025, M03-F026, M03-F027, M03-F028, M03-F029, M03-F030</x:v>
      </x:c>
      <x:c r="R29" s="39" t="str">
        <x:v>FakeMessageBus + text/AI/derived-indicator fixtures + MockRiskEvaluationPort</x:v>
      </x:c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9" t="str">
        <x:v>W07</x:v>
      </x:c>
      <x:c r="B30" s="41" t="n">
        <x:v>46343</x:v>
      </x:c>
      <x:c r="C30" s="41" t="n">
        <x:v>46349</x:v>
      </x:c>
      <x:c r="D30" s="39" t="str">
        <x:v>P2 · Core Expansion</x:v>
      </x:c>
      <x:c r="E30" s="39" t="str">
        <x:v>Hùng</x:v>
      </x:c>
      <x:c r="F30" s="39" t="str">
        <x:v>H-WP10</x:v>
      </x:c>
      <x:c r="G30" s="39" t="str">
        <x:v>M10</x:v>
      </x:c>
      <x:c r="H30" s="39" t="str">
        <x:v>Notification Contract, Routing &amp; Channel Abstraction</x:v>
      </x:c>
      <x:c r="I30" s="39" t="str">
        <x:v>Core / Expansion</x:v>
      </x:c>
      <x:c r="J30" s="39" t="str">
        <x:v>v0.3.0 · Core Expansion 2</x:v>
      </x:c>
      <x:c r="K30" s="39" t="n">
        <x:v>11</x:v>
      </x:c>
      <x:c r="L30" s="39" t="str">
        <x:v>☐</x:v>
      </x:c>
      <x:c r="M30" s="39" t="str">
        <x:v>Chưa bắt đầu</x:v>
      </x:c>
      <x:c r="N30" s="40" t="n">
        <x:f>IF(L30="☑",1,IF(M30="Done",1,IF(M30="Đang làm",0.5,IF(M30="Blocked",0.25,0))))</x:f>
        <x:v>0</x:v>
      </x:c>
      <x:c r="O30" s="39" t="str"/>
      <x:c r="P30" s="39" t="str"/>
      <x:c r="Q30" s="39" t="str">
        <x:v>M10-F008, M10-F010, M10-F011, M10-F012</x:v>
      </x:c>
      <x:c r="R30" s="39" t="str">
        <x:v>InMemory/Console providers + MockNotificationPort + notification event fixtures</x:v>
      </x:c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9" t="str">
        <x:v>W07</x:v>
      </x:c>
      <x:c r="B31" s="41" t="n">
        <x:v>46343</x:v>
      </x:c>
      <x:c r="C31" s="41" t="n">
        <x:v>46349</x:v>
      </x:c>
      <x:c r="D31" s="39" t="str">
        <x:v>P2 · Core Expansion</x:v>
      </x:c>
      <x:c r="E31" s="39" t="str">
        <x:v>Khải</x:v>
      </x:c>
      <x:c r="F31" s="39" t="str">
        <x:v>K-WP11</x:v>
      </x:c>
      <x:c r="G31" s="39" t="str">
        <x:v>M04</x:v>
      </x:c>
      <x:c r="H31" s="39" t="str">
        <x:v>Unified Entity Scan Contract &amp; NO_DATA Semantics</x:v>
      </x:c>
      <x:c r="I31" s="39" t="str">
        <x:v>Core / Expansion</x:v>
      </x:c>
      <x:c r="J31" s="39" t="str">
        <x:v>v0.3.0 · Core Expansion 2</x:v>
      </x:c>
      <x:c r="K31" s="39" t="n">
        <x:v>6</x:v>
      </x:c>
      <x:c r="L31" s="39" t="str">
        <x:v>☐</x:v>
      </x:c>
      <x:c r="M31" s="39" t="str">
        <x:v>Chưa bắt đầu</x:v>
      </x:c>
      <x:c r="N31" s="40" t="n">
        <x:f>IF(L31="☑",1,IF(M31="Done",1,IF(M31="Đang làm",0.5,IF(M31="Blocked",0.25,0))))</x:f>
        <x:v>0</x:v>
      </x:c>
      <x:c r="O31" s="39" t="str"/>
      <x:c r="P31" s="39" t="str"/>
      <x:c r="Q31" s="39" t="str">
        <x:v>M04-F017, M04-F018</x:v>
      </x:c>
      <x:c r="R31" s="39" t="str">
        <x:v>MockThreatQuery + entity fixtures + fake scan-platform adapter</x:v>
      </x:c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9" t="str">
        <x:v>W07</x:v>
      </x:c>
      <x:c r="B32" s="41" t="n">
        <x:v>46343</x:v>
      </x:c>
      <x:c r="C32" s="41" t="n">
        <x:v>46349</x:v>
      </x:c>
      <x:c r="D32" s="39" t="str">
        <x:v>P2 · Core Expansion</x:v>
      </x:c>
      <x:c r="E32" s="39" t="str">
        <x:v>Kiên</x:v>
      </x:c>
      <x:c r="F32" s="39" t="str">
        <x:v>I-WP14</x:v>
      </x:c>
      <x:c r="G32" s="39" t="str">
        <x:v>M12</x:v>
      </x:c>
      <x:c r="H32" s="39" t="str">
        <x:v>AI Task Barrier, Deadline &amp; Race Handling</x:v>
      </x:c>
      <x:c r="I32" s="39" t="str">
        <x:v>Core / Expansion</x:v>
      </x:c>
      <x:c r="J32" s="39" t="str">
        <x:v>v0.3.0 · Core Expansion 2</x:v>
      </x:c>
      <x:c r="K32" s="39" t="n">
        <x:v>12</x:v>
      </x:c>
      <x:c r="L32" s="39" t="str">
        <x:v>☐</x:v>
      </x:c>
      <x:c r="M32" s="39" t="str">
        <x:v>Chưa bắt đầu</x:v>
      </x:c>
      <x:c r="N32" s="40" t="n">
        <x:f>IF(L32="☑",1,IF(M32="Done",1,IF(M32="Đang làm",0.5,IF(M32="Blocked",0.25,0))))</x:f>
        <x:v>0</x:v>
      </x:c>
      <x:c r="O32" s="39" t="str"/>
      <x:c r="P32" s="39" t="str"/>
      <x:c r="Q32" s="39" t="str">
        <x:v>M12-F013, M12-F014, M12-F015, M12-F016</x:v>
      </x:c>
      <x:c r="R32" s="39" t="str">
        <x:v>FakeMessageBus + worker/AI/nested-scan/race fixtures + in-memory repositories</x:v>
      </x:c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9" t="str">
        <x:v>W07</x:v>
      </x:c>
      <x:c r="B33" s="41" t="n">
        <x:v>46343</x:v>
      </x:c>
      <x:c r="C33" s="41" t="n">
        <x:v>46349</x:v>
      </x:c>
      <x:c r="D33" s="39" t="str">
        <x:v>P2 · Core Expansion</x:v>
      </x:c>
      <x:c r="E33" s="39" t="str">
        <x:v>Thắng</x:v>
      </x:c>
      <x:c r="F33" s="39" t="str">
        <x:v>T-WP08</x:v>
      </x:c>
      <x:c r="G33" s="39" t="str">
        <x:v>M05</x:v>
      </x:c>
      <x:c r="H33" s="39" t="str">
        <x:v>QR/VietQR Decode, Classification &amp; Nested Routing</x:v>
      </x:c>
      <x:c r="I33" s="39" t="str">
        <x:v>Core / Expansion</x:v>
      </x:c>
      <x:c r="J33" s="39" t="str">
        <x:v>v0.3.0 · Core Expansion 2</x:v>
      </x:c>
      <x:c r="K33" s="39" t="n">
        <x:v>23</x:v>
      </x:c>
      <x:c r="L33" s="39" t="str">
        <x:v>☐</x:v>
      </x:c>
      <x:c r="M33" s="39" t="str">
        <x:v>Chưa bắt đầu</x:v>
      </x:c>
      <x:c r="N33" s="40" t="n">
        <x:f>IF(L33="☑",1,IF(M33="Done",1,IF(M33="Đang làm",0.5,IF(M33="Blocked",0.25,0))))</x:f>
        <x:v>0</x:v>
      </x:c>
      <x:c r="O33" s="39" t="str"/>
      <x:c r="P33" s="39" t="str"/>
      <x:c r="Q33" s="39" t="str">
        <x:v>M05-F001, M05-F002, M05-F003, M05-F004, M05-F005, M05-F006, M05-F009, M05-F010</x:v>
      </x:c>
      <x:c r="R33" s="39" t="str">
        <x:v>QR fixtures + fake scan-platform/child-scan adapter; SSRF handled by M02 contract</x:v>
      </x:c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9" t="str">
        <x:v>W08</x:v>
      </x:c>
      <x:c r="B34" s="41" t="n">
        <x:v>46350</x:v>
      </x:c>
      <x:c r="C34" s="41" t="n">
        <x:v>46356</x:v>
      </x:c>
      <x:c r="D34" s="39" t="str">
        <x:v>P2 · Core Expansion</x:v>
      </x:c>
      <x:c r="E34" s="39" t="str">
        <x:v>Hùng</x:v>
      </x:c>
      <x:c r="F34" s="39" t="str">
        <x:v>H-WP02</x:v>
      </x:c>
      <x:c r="G34" s="39" t="str">
        <x:v>M01</x:v>
      </x:c>
      <x:c r="H34" s="39" t="str">
        <x:v>External Identity, Guest Access &amp; Account Linking</x:v>
      </x:c>
      <x:c r="I34" s="39" t="str">
        <x:v>Core / Expansion</x:v>
      </x:c>
      <x:c r="J34" s="39" t="str">
        <x:v>v0.3.0 · Core Expansion 2</x:v>
      </x:c>
      <x:c r="K34" s="39" t="n">
        <x:v>11</x:v>
      </x:c>
      <x:c r="L34" s="39" t="str">
        <x:v>☐</x:v>
      </x:c>
      <x:c r="M34" s="39" t="str">
        <x:v>Chưa bắt đầu</x:v>
      </x:c>
      <x:c r="N34" s="40" t="n">
        <x:f>IF(L34="☑",1,IF(M34="Done",1,IF(M34="Đang làm",0.5,IF(M34="Blocked",0.25,0))))</x:f>
        <x:v>0</x:v>
      </x:c>
      <x:c r="O34" s="39" t="str"/>
      <x:c r="P34" s="39" t="str"/>
      <x:c r="Q34" s="39" t="str">
        <x:v>M01-F006, M01-F007, M01-F019, M01-F020</x:v>
      </x:c>
      <x:c r="R34" s="39" t="str">
        <x:v>MockNotificationPort + FakeAccessContext/EntitlementContext; external IdP behind adapter</x:v>
      </x:c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9" t="str">
        <x:v>W08</x:v>
      </x:c>
      <x:c r="B35" s="41" t="n">
        <x:v>46350</x:v>
      </x:c>
      <x:c r="C35" s="41" t="n">
        <x:v>46356</x:v>
      </x:c>
      <x:c r="D35" s="39" t="str">
        <x:v>P2 · Core Expansion</x:v>
      </x:c>
      <x:c r="E35" s="39" t="str">
        <x:v>Khải</x:v>
      </x:c>
      <x:c r="F35" s="39" t="str">
        <x:v>K-WP12</x:v>
      </x:c>
      <x:c r="G35" s="39" t="str">
        <x:v>M07</x:v>
      </x:c>
      <x:c r="H35" s="39" t="str">
        <x:v>Community Report Submission &amp; Evidence</x:v>
      </x:c>
      <x:c r="I35" s="39" t="str">
        <x:v>Core / Expansion</x:v>
      </x:c>
      <x:c r="J35" s="39" t="str">
        <x:v>v0.3.0 · Core Expansion 2</x:v>
      </x:c>
      <x:c r="K35" s="39" t="n">
        <x:v>17</x:v>
      </x:c>
      <x:c r="L35" s="39" t="str">
        <x:v>☐</x:v>
      </x:c>
      <x:c r="M35" s="39" t="str">
        <x:v>Chưa bắt đầu</x:v>
      </x:c>
      <x:c r="N35" s="40" t="n">
        <x:f>IF(L35="☑",1,IF(M35="Done",1,IF(M35="Đang làm",0.5,IF(M35="Blocked",0.25,0))))</x:f>
        <x:v>0</x:v>
      </x:c>
      <x:c r="O35" s="39" t="str"/>
      <x:c r="P35" s="39" t="str"/>
      <x:c r="Q35" s="39" t="str">
        <x:v>M07-F001, M07-F002, M07-F003, M07-F004, M07-F005, M07-F006, M07-F007, M07-F008</x:v>
      </x:c>
      <x:c r="R35" s="39" t="str">
        <x:v>Seed report fixtures + MockThreatQuery + MockNotificationPort + InMemoryAuditPort</x:v>
      </x:c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9" t="str">
        <x:v>W08</x:v>
      </x:c>
      <x:c r="B36" s="41" t="n">
        <x:v>46350</x:v>
      </x:c>
      <x:c r="C36" s="41" t="n">
        <x:v>46356</x:v>
      </x:c>
      <x:c r="D36" s="39" t="str">
        <x:v>P2 · Core Expansion</x:v>
      </x:c>
      <x:c r="E36" s="39" t="str">
        <x:v>Kiên</x:v>
      </x:c>
      <x:c r="F36" s="39" t="str">
        <x:v>I-WP01</x:v>
      </x:c>
      <x:c r="G36" s="39" t="str">
        <x:v>M08</x:v>
      </x:c>
      <x:c r="H36" s="39" t="str">
        <x:v>Threat Feed Ingestion &amp; Dataset Lifecycle</x:v>
      </x:c>
      <x:c r="I36" s="39" t="str">
        <x:v>Core / Expansion</x:v>
      </x:c>
      <x:c r="J36" s="39" t="str">
        <x:v>v0.3.0 · Core Expansion 2</x:v>
      </x:c>
      <x:c r="K36" s="39" t="n">
        <x:v>11</x:v>
      </x:c>
      <x:c r="L36" s="39" t="str">
        <x:v>☐</x:v>
      </x:c>
      <x:c r="M36" s="39" t="str">
        <x:v>Chưa bắt đầu</x:v>
      </x:c>
      <x:c r="N36" s="40" t="n">
        <x:f>IF(L36="☑",1,IF(M36="Done",1,IF(M36="Đang làm",0.5,IF(M36="Blocked",0.25,0))))</x:f>
        <x:v>0</x:v>
      </x:c>
      <x:c r="O36" s="39" t="str"/>
      <x:c r="P36" s="39" t="str"/>
      <x:c r="Q36" s="39" t="str">
        <x:v>M08-F001, M08-F002, M08-F003, M08-F004, M08-F005, M08-F006, M08-F007</x:v>
      </x:c>
      <x:c r="R36" s="39" t="str">
        <x:v>sample threat feeds + in-memory repository/cache adapter; core-only ThreatQuery contract</x:v>
      </x:c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9" t="str">
        <x:v>W08</x:v>
      </x:c>
      <x:c r="B37" s="41" t="n">
        <x:v>46350</x:v>
      </x:c>
      <x:c r="C37" s="41" t="n">
        <x:v>46356</x:v>
      </x:c>
      <x:c r="D37" s="39" t="str">
        <x:v>P2 · Core Expansion</x:v>
      </x:c>
      <x:c r="E37" s="39" t="str">
        <x:v>Thắng</x:v>
      </x:c>
      <x:c r="F37" s="39" t="str">
        <x:v>T-WP15</x:v>
      </x:c>
      <x:c r="G37" s="39" t="str">
        <x:v>M11</x:v>
      </x:c>
      <x:c r="H37" s="39" t="str">
        <x:v>AI Task/Result Contract &amp; Worker Core</x:v>
      </x:c>
      <x:c r="I37" s="39" t="str">
        <x:v>Core / Expansion</x:v>
      </x:c>
      <x:c r="J37" s="39" t="str">
        <x:v>v0.3.0 · Core Expansion 2</x:v>
      </x:c>
      <x:c r="K37" s="39" t="n">
        <x:v>21</x:v>
      </x:c>
      <x:c r="L37" s="39" t="str">
        <x:v>☐</x:v>
      </x:c>
      <x:c r="M37" s="39" t="str">
        <x:v>Chưa bắt đầu</x:v>
      </x:c>
      <x:c r="N37" s="40" t="n">
        <x:f>IF(L37="☑",1,IF(M37="Done",1,IF(M37="Đang làm",0.5,IF(M37="Blocked",0.25,0))))</x:f>
        <x:v>0</x:v>
      </x:c>
      <x:c r="O37" s="39" t="str"/>
      <x:c r="P37" s="39" t="str"/>
      <x:c r="Q37" s="39" t="str">
        <x:v>M11-F001, M11-F002, M11-F003, M11-F004, M11-F005, M11-F006, M11-F017, M11-F018</x:v>
      </x:c>
      <x:c r="R37" s="39" t="str">
        <x:v>FakeMessageBus + ai request/result fixtures + mock provider adapters</x:v>
      </x:c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9" t="str">
        <x:v>W09</x:v>
      </x:c>
      <x:c r="B38" s="41" t="n">
        <x:v>46357</x:v>
      </x:c>
      <x:c r="C38" s="41" t="n">
        <x:v>46363</x:v>
      </x:c>
      <x:c r="D38" s="39" t="str">
        <x:v>P2 · Core Expansion</x:v>
      </x:c>
      <x:c r="E38" s="39" t="str">
        <x:v>Hùng</x:v>
      </x:c>
      <x:c r="F38" s="39" t="str">
        <x:v>H-WP04</x:v>
      </x:c>
      <x:c r="G38" s="39" t="str">
        <x:v>M01</x:v>
      </x:c>
      <x:c r="H38" s="39" t="str">
        <x:v>Profile, Password Lifecycle &amp; Privacy</x:v>
      </x:c>
      <x:c r="I38" s="39" t="str">
        <x:v>Core / Expansion</x:v>
      </x:c>
      <x:c r="J38" s="39" t="str">
        <x:v>v0.3.0 · Core Expansion 2</x:v>
      </x:c>
      <x:c r="K38" s="39" t="n">
        <x:v>16</x:v>
      </x:c>
      <x:c r="L38" s="39" t="str">
        <x:v>☐</x:v>
      </x:c>
      <x:c r="M38" s="39" t="str">
        <x:v>Chưa bắt đầu</x:v>
      </x:c>
      <x:c r="N38" s="40" t="n">
        <x:f>IF(L38="☑",1,IF(M38="Done",1,IF(M38="Đang làm",0.5,IF(M38="Blocked",0.25,0))))</x:f>
        <x:v>0</x:v>
      </x:c>
      <x:c r="O38" s="39" t="str"/>
      <x:c r="P38" s="39" t="str"/>
      <x:c r="Q38" s="39" t="str">
        <x:v>M01-F015, M01-F016, M01-F017, M01-F018, M01-F038, M01-F039, M01-F040</x:v>
      </x:c>
      <x:c r="R38" s="39" t="str">
        <x:v>MockNotificationPort + FakeAccessContext/EntitlementContext; external IdP behind adapter</x:v>
      </x:c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9" t="str">
        <x:v>W09</x:v>
      </x:c>
      <x:c r="B39" s="41" t="n">
        <x:v>46357</x:v>
      </x:c>
      <x:c r="C39" s="41" t="n">
        <x:v>46363</x:v>
      </x:c>
      <x:c r="D39" s="39" t="str">
        <x:v>P2 · Core Expansion</x:v>
      </x:c>
      <x:c r="E39" s="39" t="str">
        <x:v>Khải</x:v>
      </x:c>
      <x:c r="F39" s="39" t="str">
        <x:v>K-WP13</x:v>
      </x:c>
      <x:c r="G39" s="39" t="str">
        <x:v>M07</x:v>
      </x:c>
      <x:c r="H39" s="39" t="str">
        <x:v>Moderation Queue &amp; Review Workflow</x:v>
      </x:c>
      <x:c r="I39" s="39" t="str">
        <x:v>Core / Expansion</x:v>
      </x:c>
      <x:c r="J39" s="39" t="str">
        <x:v>v0.3.0 · Core Expansion 2</x:v>
      </x:c>
      <x:c r="K39" s="39" t="n">
        <x:v>20</x:v>
      </x:c>
      <x:c r="L39" s="39" t="str">
        <x:v>☐</x:v>
      </x:c>
      <x:c r="M39" s="39" t="str">
        <x:v>Chưa bắt đầu</x:v>
      </x:c>
      <x:c r="N39" s="40" t="n">
        <x:f>IF(L39="☑",1,IF(M39="Done",1,IF(M39="Đang làm",0.5,IF(M39="Blocked",0.25,0))))</x:f>
        <x:v>0</x:v>
      </x:c>
      <x:c r="O39" s="39" t="str"/>
      <x:c r="P39" s="39" t="str"/>
      <x:c r="Q39" s="39" t="str">
        <x:v>M07-F009, M07-F010, M07-F011, M07-F012, M07-F013, M07-F014, M07-F015, M07-F016, M07-F017</x:v>
      </x:c>
      <x:c r="R39" s="39" t="str">
        <x:v>Seed report fixtures + MockThreatQuery + MockNotificationPort + InMemoryAuditPort</x:v>
      </x:c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9" t="str">
        <x:v>W09</x:v>
      </x:c>
      <x:c r="B40" s="41" t="n">
        <x:v>46357</x:v>
      </x:c>
      <x:c r="C40" s="41" t="n">
        <x:v>46363</x:v>
      </x:c>
      <x:c r="D40" s="39" t="str">
        <x:v>P2 · Core Expansion</x:v>
      </x:c>
      <x:c r="E40" s="39" t="str">
        <x:v>Kiên</x:v>
      </x:c>
      <x:c r="F40" s="39" t="str">
        <x:v>I-WP02</x:v>
      </x:c>
      <x:c r="G40" s="39" t="str">
        <x:v>M08</x:v>
      </x:c>
      <x:c r="H40" s="39" t="str">
        <x:v>Whitelist / Blacklist Administration</x:v>
      </x:c>
      <x:c r="I40" s="39" t="str">
        <x:v>Core / Expansion</x:v>
      </x:c>
      <x:c r="J40" s="39" t="str">
        <x:v>v0.3.0 · Core Expansion 2</x:v>
      </x:c>
      <x:c r="K40" s="39" t="n">
        <x:v>16</x:v>
      </x:c>
      <x:c r="L40" s="39" t="str">
        <x:v>☐</x:v>
      </x:c>
      <x:c r="M40" s="39" t="str">
        <x:v>Chưa bắt đầu</x:v>
      </x:c>
      <x:c r="N40" s="40" t="n">
        <x:f>IF(L40="☑",1,IF(M40="Done",1,IF(M40="Đang làm",0.5,IF(M40="Blocked",0.25,0))))</x:f>
        <x:v>0</x:v>
      </x:c>
      <x:c r="O40" s="39" t="str"/>
      <x:c r="P40" s="39" t="str"/>
      <x:c r="Q40" s="39" t="str">
        <x:v>M08-F008, M08-F009, M08-F010, M08-F011, M08-F012, M08-F013, M08-F014, M08-F015</x:v>
      </x:c>
      <x:c r="R40" s="39" t="str">
        <x:v>sample threat feeds + in-memory repository/cache adapter; core-only ThreatQuery contract</x:v>
      </x:c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9" t="str">
        <x:v>W09</x:v>
      </x:c>
      <x:c r="B41" s="41" t="n">
        <x:v>46357</x:v>
      </x:c>
      <x:c r="C41" s="41" t="n">
        <x:v>46363</x:v>
      </x:c>
      <x:c r="D41" s="39" t="str">
        <x:v>P2 · Core Expansion</x:v>
      </x:c>
      <x:c r="E41" s="39" t="str">
        <x:v>Thắng</x:v>
      </x:c>
      <x:c r="F41" s="39" t="str">
        <x:v>T-WP16</x:v>
      </x:c>
      <x:c r="G41" s="39" t="str">
        <x:v>M11</x:v>
      </x:c>
      <x:c r="H41" s="39" t="str">
        <x:v>AI Provider Resolver &amp; Adapter Registry</x:v>
      </x:c>
      <x:c r="I41" s="39" t="str">
        <x:v>Core / Expansion</x:v>
      </x:c>
      <x:c r="J41" s="39" t="str">
        <x:v>v0.3.0 · Core Expansion 2</x:v>
      </x:c>
      <x:c r="K41" s="39" t="n">
        <x:v>6</x:v>
      </x:c>
      <x:c r="L41" s="39" t="str">
        <x:v>☐</x:v>
      </x:c>
      <x:c r="M41" s="39" t="str">
        <x:v>Chưa bắt đầu</x:v>
      </x:c>
      <x:c r="N41" s="40" t="n">
        <x:f>IF(L41="☑",1,IF(M41="Done",1,IF(M41="Đang làm",0.5,IF(M41="Blocked",0.25,0))))</x:f>
        <x:v>0</x:v>
      </x:c>
      <x:c r="O41" s="39" t="str"/>
      <x:c r="P41" s="39" t="str"/>
      <x:c r="Q41" s="39" t="str">
        <x:v>M11-F009, M11-F019, M11-F020</x:v>
      </x:c>
      <x:c r="R41" s="39" t="str">
        <x:v>FakeMessageBus + ai request/result fixtures + mock provider adapters</x:v>
      </x:c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9" t="str">
        <x:v>W10</x:v>
      </x:c>
      <x:c r="B42" s="41" t="n">
        <x:v>46364</x:v>
      </x:c>
      <x:c r="C42" s="41" t="n">
        <x:v>46370</x:v>
      </x:c>
      <x:c r="D42" s="39" t="str">
        <x:v>P2 · Core Expansion</x:v>
      </x:c>
      <x:c r="E42" s="39" t="str">
        <x:v>Hùng</x:v>
      </x:c>
      <x:c r="F42" s="39" t="str">
        <x:v>H-WP11</x:v>
      </x:c>
      <x:c r="G42" s="39" t="str">
        <x:v>M10</x:v>
      </x:c>
      <x:c r="H42" s="39" t="str">
        <x:v>Notification Endpoints, Preferences, Templates &amp; Secret Safety</x:v>
      </x:c>
      <x:c r="I42" s="39" t="str">
        <x:v>Core / Expansion</x:v>
      </x:c>
      <x:c r="J42" s="39" t="str">
        <x:v>v0.4.0 · Beta Candidate</x:v>
      </x:c>
      <x:c r="K42" s="39" t="n">
        <x:v>10</x:v>
      </x:c>
      <x:c r="L42" s="39" t="str">
        <x:v>☐</x:v>
      </x:c>
      <x:c r="M42" s="39" t="str">
        <x:v>Chưa bắt đầu</x:v>
      </x:c>
      <x:c r="N42" s="40" t="n">
        <x:f>IF(L42="☑",1,IF(M42="Done",1,IF(M42="Đang làm",0.5,IF(M42="Blocked",0.25,0))))</x:f>
        <x:v>0</x:v>
      </x:c>
      <x:c r="O42" s="39" t="str"/>
      <x:c r="P42" s="39" t="str"/>
      <x:c r="Q42" s="39" t="str">
        <x:v>M10-F013, M10-F014, M10-F015, M10-F016, M10-F018</x:v>
      </x:c>
      <x:c r="R42" s="39" t="str">
        <x:v>InMemory/Console providers + MockNotificationPort + notification event fixtures</x:v>
      </x:c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9" t="str">
        <x:v>W10</x:v>
      </x:c>
      <x:c r="B43" s="41" t="n">
        <x:v>46364</x:v>
      </x:c>
      <x:c r="C43" s="41" t="n">
        <x:v>46370</x:v>
      </x:c>
      <x:c r="D43" s="39" t="str">
        <x:v>P2 · Core Expansion</x:v>
      </x:c>
      <x:c r="E43" s="39" t="str">
        <x:v>Khải</x:v>
      </x:c>
      <x:c r="F43" s="39" t="str">
        <x:v>K-WP15</x:v>
      </x:c>
      <x:c r="G43" s="39" t="str">
        <x:v>M07</x:v>
      </x:c>
      <x:c r="H43" s="39" t="str">
        <x:v>Verified Report → Threat/Reputation Signal Bridge</x:v>
      </x:c>
      <x:c r="I43" s="39" t="str">
        <x:v>Core / Expansion</x:v>
      </x:c>
      <x:c r="J43" s="39" t="str">
        <x:v>v0.4.0 · Beta Candidate</x:v>
      </x:c>
      <x:c r="K43" s="39" t="n">
        <x:v>6</x:v>
      </x:c>
      <x:c r="L43" s="39" t="str">
        <x:v>☐</x:v>
      </x:c>
      <x:c r="M43" s="39" t="str">
        <x:v>Chưa bắt đầu</x:v>
      </x:c>
      <x:c r="N43" s="40" t="n">
        <x:f>IF(L43="☑",1,IF(M43="Done",1,IF(M43="Đang làm",0.5,IF(M43="Blocked",0.25,0))))</x:f>
        <x:v>0</x:v>
      </x:c>
      <x:c r="O43" s="39" t="str"/>
      <x:c r="P43" s="39" t="str"/>
      <x:c r="Q43" s="39" t="str">
        <x:v>M07-F025, M07-F026</x:v>
      </x:c>
      <x:c r="R43" s="39" t="str">
        <x:v>Seed report fixtures + MockThreatQuery + MockNotificationPort + InMemoryAuditPort</x:v>
      </x:c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9" t="str">
        <x:v>W10</x:v>
      </x:c>
      <x:c r="B44" s="41" t="n">
        <x:v>46364</x:v>
      </x:c>
      <x:c r="C44" s="41" t="n">
        <x:v>46370</x:v>
      </x:c>
      <x:c r="D44" s="39" t="str">
        <x:v>P2 · Core Expansion</x:v>
      </x:c>
      <x:c r="E44" s="39" t="str">
        <x:v>Kiên</x:v>
      </x:c>
      <x:c r="F44" s="39" t="str">
        <x:v>I-WP03</x:v>
      </x:c>
      <x:c r="G44" s="39" t="str">
        <x:v>M08</x:v>
      </x:c>
      <x:c r="H44" s="39" t="str">
        <x:v>Risk Entity Registry &amp; Evidence Consolidation</x:v>
      </x:c>
      <x:c r="I44" s="39" t="str">
        <x:v>Core / Expansion</x:v>
      </x:c>
      <x:c r="J44" s="39" t="str">
        <x:v>v0.4.0 · Beta Candidate</x:v>
      </x:c>
      <x:c r="K44" s="39" t="n">
        <x:v>18</x:v>
      </x:c>
      <x:c r="L44" s="39" t="str">
        <x:v>☐</x:v>
      </x:c>
      <x:c r="M44" s="39" t="str">
        <x:v>Chưa bắt đầu</x:v>
      </x:c>
      <x:c r="N44" s="40" t="n">
        <x:f>IF(L44="☑",1,IF(M44="Done",1,IF(M44="Đang làm",0.5,IF(M44="Blocked",0.25,0))))</x:f>
        <x:v>0</x:v>
      </x:c>
      <x:c r="O44" s="39" t="str"/>
      <x:c r="P44" s="39" t="str"/>
      <x:c r="Q44" s="39" t="str">
        <x:v>M08-F016, M08-F017, M08-F018, M08-F019, M08-F020, M08-F021, M08-F022, M08-F023, M08-F024</x:v>
      </x:c>
      <x:c r="R44" s="39" t="str">
        <x:v>sample threat feeds + in-memory repository/cache adapter; core-only ThreatQuery contract</x:v>
      </x:c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9" t="str">
        <x:v>W10</x:v>
      </x:c>
      <x:c r="B45" s="41" t="n">
        <x:v>46364</x:v>
      </x:c>
      <x:c r="C45" s="41" t="n">
        <x:v>46370</x:v>
      </x:c>
      <x:c r="D45" s="39" t="str">
        <x:v>P2 · Core Expansion</x:v>
      </x:c>
      <x:c r="E45" s="39" t="str">
        <x:v>Thắng</x:v>
      </x:c>
      <x:c r="F45" s="39" t="str">
        <x:v>T-WP18</x:v>
      </x:c>
      <x:c r="G45" s="39" t="str">
        <x:v>M11</x:v>
      </x:c>
      <x:c r="H45" s="39" t="str">
        <x:v>AI Evaluation Dataset, Metrics &amp; Calibration</x:v>
      </x:c>
      <x:c r="I45" s="39" t="str">
        <x:v>Core / Expansion</x:v>
      </x:c>
      <x:c r="J45" s="39" t="str">
        <x:v>v0.4.0 · Beta Candidate</x:v>
      </x:c>
      <x:c r="K45" s="39" t="n">
        <x:v>12</x:v>
      </x:c>
      <x:c r="L45" s="39" t="str">
        <x:v>☐</x:v>
      </x:c>
      <x:c r="M45" s="39" t="str">
        <x:v>Chưa bắt đầu</x:v>
      </x:c>
      <x:c r="N45" s="40" t="n">
        <x:f>IF(L45="☑",1,IF(M45="Done",1,IF(M45="Đang làm",0.5,IF(M45="Blocked",0.25,0))))</x:f>
        <x:v>0</x:v>
      </x:c>
      <x:c r="O45" s="39" t="str"/>
      <x:c r="P45" s="39" t="str"/>
      <x:c r="Q45" s="39" t="str">
        <x:v>M11-F010, M11-F011, M11-F012, M11-F013, M11-F014, M11-F015, M11-F016</x:v>
      </x:c>
      <x:c r="R45" s="39" t="str">
        <x:v>FakeMessageBus + ai request/result fixtures + mock provider adapters</x:v>
      </x:c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9" t="str">
        <x:v>W11</x:v>
      </x:c>
      <x:c r="B46" s="41" t="n">
        <x:v>46371</x:v>
      </x:c>
      <x:c r="C46" s="41" t="n">
        <x:v>46377</x:v>
      </x:c>
      <x:c r="D46" s="39" t="str">
        <x:v>P3 · Beta Preparation</x:v>
      </x:c>
      <x:c r="E46" s="39" t="str">
        <x:v>Hùng</x:v>
      </x:c>
      <x:c r="F46" s="39" t="str">
        <x:v>H-WP09</x:v>
      </x:c>
      <x:c r="G46" s="39" t="str">
        <x:v>M10</x:v>
      </x:c>
      <x:c r="H46" s="39" t="str">
        <x:v>Notification Delivery Reliability</x:v>
      </x:c>
      <x:c r="I46" s="39" t="str">
        <x:v>Core / Expansion</x:v>
      </x:c>
      <x:c r="J46" s="39" t="str">
        <x:v>v0.4.0 · Beta Candidate</x:v>
      </x:c>
      <x:c r="K46" s="39" t="n">
        <x:v>6</x:v>
      </x:c>
      <x:c r="L46" s="39" t="str">
        <x:v>☐</x:v>
      </x:c>
      <x:c r="M46" s="39" t="str">
        <x:v>Chưa bắt đầu</x:v>
      </x:c>
      <x:c r="N46" s="40" t="n">
        <x:f>IF(L46="☑",1,IF(M46="Done",1,IF(M46="Đang làm",0.5,IF(M46="Blocked",0.25,0))))</x:f>
        <x:v>0</x:v>
      </x:c>
      <x:c r="O46" s="39" t="str"/>
      <x:c r="P46" s="39" t="str"/>
      <x:c r="Q46" s="39" t="str">
        <x:v>M10-F003, M10-F009, M10-F017</x:v>
      </x:c>
      <x:c r="R46" s="39" t="str">
        <x:v>InMemory/Console providers + MockNotificationPort + notification event fixtures</x:v>
      </x:c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9" t="str">
        <x:v>W11</x:v>
      </x:c>
      <x:c r="B47" s="41" t="n">
        <x:v>46371</x:v>
      </x:c>
      <x:c r="C47" s="41" t="n">
        <x:v>46377</x:v>
      </x:c>
      <x:c r="D47" s="39" t="str">
        <x:v>P3 · Beta Preparation</x:v>
      </x:c>
      <x:c r="E47" s="39" t="str">
        <x:v>Khải</x:v>
      </x:c>
      <x:c r="F47" s="39" t="str">
        <x:v>K-WP03</x:v>
      </x:c>
      <x:c r="G47" s="39" t="str">
        <x:v>M02</x:v>
      </x:c>
      <x:c r="H47" s="39" t="str">
        <x:v>Redirect Chain Analysis</x:v>
      </x:c>
      <x:c r="I47" s="39" t="str">
        <x:v>Core / Expansion</x:v>
      </x:c>
      <x:c r="J47" s="39" t="str">
        <x:v>v0.4.0 · Beta Candidate</x:v>
      </x:c>
      <x:c r="K47" s="39" t="n">
        <x:v>14</x:v>
      </x:c>
      <x:c r="L47" s="39" t="str">
        <x:v>☐</x:v>
      </x:c>
      <x:c r="M47" s="39" t="str">
        <x:v>Chưa bắt đầu</x:v>
      </x:c>
      <x:c r="N47" s="40" t="n">
        <x:f>IF(L47="☑",1,IF(M47="Done",1,IF(M47="Đang làm",0.5,IF(M47="Blocked",0.25,0))))</x:f>
        <x:v>0</x:v>
      </x:c>
      <x:c r="O47" s="39" t="str"/>
      <x:c r="P47" s="39" t="str"/>
      <x:c r="Q47" s="39" t="str">
        <x:v>M02-F017, M02-F018, M02-F019, M02-F020, M02-F021, M02-F022, M02-F023</x:v>
      </x:c>
      <x:c r="R47" s="39" t="str">
        <x:v>FakeMessageBus + MockThreatQuery + RiskResult/worker fixtures; no direct DB/core call from worker</x:v>
      </x:c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9" t="str">
        <x:v>W11</x:v>
      </x:c>
      <x:c r="B48" s="41" t="n">
        <x:v>46371</x:v>
      </x:c>
      <x:c r="C48" s="41" t="n">
        <x:v>46377</x:v>
      </x:c>
      <x:c r="D48" s="39" t="str">
        <x:v>P3 · Beta Preparation</x:v>
      </x:c>
      <x:c r="E48" s="39" t="str">
        <x:v>Kiên</x:v>
      </x:c>
      <x:c r="F48" s="39" t="str">
        <x:v>I-WP07</x:v>
      </x:c>
      <x:c r="G48" s="39" t="str">
        <x:v>M09</x:v>
      </x:c>
      <x:c r="H48" s="39" t="str">
        <x:v>Rule Repository &amp; Admin Management</x:v>
      </x:c>
      <x:c r="I48" s="39" t="str">
        <x:v>Core / Expansion</x:v>
      </x:c>
      <x:c r="J48" s="39" t="str">
        <x:v>v0.4.0 · Beta Candidate</x:v>
      </x:c>
      <x:c r="K48" s="39" t="n">
        <x:v>16</x:v>
      </x:c>
      <x:c r="L48" s="39" t="str">
        <x:v>☐</x:v>
      </x:c>
      <x:c r="M48" s="39" t="str">
        <x:v>Chưa bắt đầu</x:v>
      </x:c>
      <x:c r="N48" s="40" t="n">
        <x:f>IF(L48="☑",1,IF(M48="Done",1,IF(M48="Đang làm",0.5,IF(M48="Blocked",0.25,0))))</x:f>
        <x:v>0</x:v>
      </x:c>
      <x:c r="O48" s="39" t="str"/>
      <x:c r="P48" s="39" t="str"/>
      <x:c r="Q48" s="39" t="str">
        <x:v>M09-F009, M09-F010, M09-F011, M09-F012, M09-F013, M09-F014, M09-F015, M09-F016</x:v>
      </x:c>
      <x:c r="R48" s="39" t="str">
        <x:v>UnifiedSignalSet fixtures + deterministic policy fixtures; expose RiskEvaluationPort</x:v>
      </x:c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9" t="str">
        <x:v>W11</x:v>
      </x:c>
      <x:c r="B49" s="41" t="n">
        <x:v>46371</x:v>
      </x:c>
      <x:c r="C49" s="41" t="n">
        <x:v>46377</x:v>
      </x:c>
      <x:c r="D49" s="39" t="str">
        <x:v>P3 · Beta Preparation</x:v>
      </x:c>
      <x:c r="E49" s="39" t="str">
        <x:v>Thắng</x:v>
      </x:c>
      <x:c r="F49" s="39" t="str">
        <x:v>T-WP11</x:v>
      </x:c>
      <x:c r="G49" s="39" t="str">
        <x:v>M06</x:v>
      </x:c>
      <x:c r="H49" s="39" t="str">
        <x:v>History Retention &amp; User Management</x:v>
      </x:c>
      <x:c r="I49" s="39" t="str">
        <x:v>Core / Expansion</x:v>
      </x:c>
      <x:c r="J49" s="39" t="str">
        <x:v>v0.4.0 · Beta Candidate</x:v>
      </x:c>
      <x:c r="K49" s="39" t="n">
        <x:v>11</x:v>
      </x:c>
      <x:c r="L49" s="39" t="str">
        <x:v>☐</x:v>
      </x:c>
      <x:c r="M49" s="39" t="str">
        <x:v>Chưa bắt đầu</x:v>
      </x:c>
      <x:c r="N49" s="40" t="n">
        <x:f>IF(L49="☑",1,IF(M49="Done",1,IF(M49="Đang làm",0.5,IF(M49="Blocked",0.25,0))))</x:f>
        <x:v>0</x:v>
      </x:c>
      <x:c r="O49" s="39" t="str"/>
      <x:c r="P49" s="39" t="str"/>
      <x:c r="Q49" s="39" t="str">
        <x:v>M06-F001, M06-F002, M06-F007, M06-F008, M06-F009, M06-F010</x:v>
      </x:c>
      <x:c r="R49" s="39" t="str">
        <x:v>RiskResult/history fixtures + mock object storage/export event + MockNotificationPort</x:v>
      </x:c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9" t="str">
        <x:v>W14</x:v>
      </x:c>
      <x:c r="B50" s="41" t="n">
        <x:v>46392</x:v>
      </x:c>
      <x:c r="C50" s="41" t="n">
        <x:v>46398</x:v>
      </x:c>
      <x:c r="D50" s="39" t="str">
        <x:v>P3 · Beta Preparation</x:v>
      </x:c>
      <x:c r="E50" s="39" t="str">
        <x:v>Hùng</x:v>
      </x:c>
      <x:c r="F50" s="39" t="str">
        <x:v>H-WP14</x:v>
      </x:c>
      <x:c r="G50" s="39" t="str">
        <x:v>M13</x:v>
      </x:c>
      <x:c r="H50" s="39" t="str">
        <x:v>CI/CD &amp; Dependency Quality Gates</x:v>
      </x:c>
      <x:c r="I50" s="39" t="str">
        <x:v>Core / Expansion</x:v>
      </x:c>
      <x:c r="J50" s="39" t="str">
        <x:v>v0.5.0-beta.1 · Public Beta</x:v>
      </x:c>
      <x:c r="K50" s="39" t="n">
        <x:v>15</x:v>
      </x:c>
      <x:c r="L50" s="39" t="str">
        <x:v>☐</x:v>
      </x:c>
      <x:c r="M50" s="39" t="str">
        <x:v>Chưa bắt đầu</x:v>
      </x:c>
      <x:c r="N50" s="40" t="n">
        <x:f>IF(L50="☑",1,IF(M50="Done",1,IF(M50="Đang làm",0.5,IF(M50="Blocked",0.25,0))))</x:f>
        <x:v>0</x:v>
      </x:c>
      <x:c r="O50" s="39" t="str"/>
      <x:c r="P50" s="39" t="str"/>
      <x:c r="Q50" s="39" t="str">
        <x:v>M13-F012, M13-F013, M13-F014, M13-F015, M13-F016, M13-F017, M13-F020</x:v>
      </x:c>
      <x:c r="R50" s="39" t="str">
        <x:v>shared local compose + env templates + service test doubles; no business logic ownership</x:v>
      </x:c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9" t="str">
        <x:v>W14</x:v>
      </x:c>
      <x:c r="B51" s="41" t="n">
        <x:v>46392</x:v>
      </x:c>
      <x:c r="C51" s="41" t="n">
        <x:v>46398</x:v>
      </x:c>
      <x:c r="D51" s="39" t="str">
        <x:v>P3 · Beta Preparation</x:v>
      </x:c>
      <x:c r="E51" s="39" t="str">
        <x:v>Khải</x:v>
      </x:c>
      <x:c r="F51" s="39" t="str">
        <x:v>K-WP06</x:v>
      </x:c>
      <x:c r="G51" s="39" t="str">
        <x:v>M02</x:v>
      </x:c>
      <x:c r="H51" s="39" t="str">
        <x:v>Brand Impersonation &amp; Typosquatting Detection</x:v>
      </x:c>
      <x:c r="I51" s="39" t="str">
        <x:v>Core / Expansion</x:v>
      </x:c>
      <x:c r="J51" s="39" t="str">
        <x:v>v0.5.0-beta.1 · Public Beta</x:v>
      </x:c>
      <x:c r="K51" s="39" t="n">
        <x:v>14</x:v>
      </x:c>
      <x:c r="L51" s="39" t="str">
        <x:v>☐</x:v>
      </x:c>
      <x:c r="M51" s="39" t="str">
        <x:v>Chưa bắt đầu</x:v>
      </x:c>
      <x:c r="N51" s="40" t="n">
        <x:f>IF(L51="☑",1,IF(M51="Done",1,IF(M51="Đang làm",0.5,IF(M51="Blocked",0.25,0))))</x:f>
        <x:v>0</x:v>
      </x:c>
      <x:c r="O51" s="39" t="str"/>
      <x:c r="P51" s="39" t="str"/>
      <x:c r="Q51" s="39" t="str">
        <x:v>M02-F039, M02-F040, M02-F041, M02-F042, M02-F043, M02-F044, M02-F045</x:v>
      </x:c>
      <x:c r="R51" s="39" t="str">
        <x:v>FakeMessageBus + MockThreatQuery + RiskResult/worker fixtures; no direct DB/core call from worker</x:v>
      </x:c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9" t="str">
        <x:v>W14</x:v>
      </x:c>
      <x:c r="B52" s="41" t="n">
        <x:v>46392</x:v>
      </x:c>
      <x:c r="C52" s="41" t="n">
        <x:v>46398</x:v>
      </x:c>
      <x:c r="D52" s="39" t="str">
        <x:v>P3 · Beta Preparation</x:v>
      </x:c>
      <x:c r="E52" s="39" t="str">
        <x:v>Kiên</x:v>
      </x:c>
      <x:c r="F52" s="39" t="str">
        <x:v>I-WP09</x:v>
      </x:c>
      <x:c r="G52" s="39" t="str">
        <x:v>M09</x:v>
      </x:c>
      <x:c r="H52" s="39" t="str">
        <x:v>Rule Versioning, History &amp; Rollback</x:v>
      </x:c>
      <x:c r="I52" s="39" t="str">
        <x:v>Core / Expansion</x:v>
      </x:c>
      <x:c r="J52" s="39" t="str">
        <x:v>v0.5.0-beta.1 · Public Beta</x:v>
      </x:c>
      <x:c r="K52" s="39" t="n">
        <x:v>9</x:v>
      </x:c>
      <x:c r="L52" s="39" t="str">
        <x:v>☐</x:v>
      </x:c>
      <x:c r="M52" s="39" t="str">
        <x:v>Chưa bắt đầu</x:v>
      </x:c>
      <x:c r="N52" s="40" t="n">
        <x:f>IF(L52="☑",1,IF(M52="Done",1,IF(M52="Đang làm",0.5,IF(M52="Blocked",0.25,0))))</x:f>
        <x:v>0</x:v>
      </x:c>
      <x:c r="O52" s="39" t="str"/>
      <x:c r="P52" s="39" t="str"/>
      <x:c r="Q52" s="39" t="str">
        <x:v>M09-F023, M09-F024, M09-F025, M09-F026, M09-F027, M09-F028</x:v>
      </x:c>
      <x:c r="R52" s="39" t="str">
        <x:v>UnifiedSignalSet fixtures + deterministic policy fixtures; expose RiskEvaluationPort</x:v>
      </x:c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9" t="str">
        <x:v>W14</x:v>
      </x:c>
      <x:c r="B53" s="41" t="n">
        <x:v>46392</x:v>
      </x:c>
      <x:c r="C53" s="41" t="n">
        <x:v>46398</x:v>
      </x:c>
      <x:c r="D53" s="39" t="str">
        <x:v>P3 · Beta Preparation</x:v>
      </x:c>
      <x:c r="E53" s="39" t="str">
        <x:v>Thắng</x:v>
      </x:c>
      <x:c r="F53" s="39" t="str">
        <x:v>T-WP14</x:v>
      </x:c>
      <x:c r="G53" s="39" t="str">
        <x:v>M06</x:v>
      </x:c>
      <x:c r="H53" s="39" t="str">
        <x:v>Async Export &amp; Admin Reporting</x:v>
      </x:c>
      <x:c r="I53" s="39" t="str">
        <x:v>Core / Expansion</x:v>
      </x:c>
      <x:c r="J53" s="39" t="str">
        <x:v>v0.5.0-beta.1 · Public Beta</x:v>
      </x:c>
      <x:c r="K53" s="39" t="n">
        <x:v>5</x:v>
      </x:c>
      <x:c r="L53" s="39" t="str">
        <x:v>☐</x:v>
      </x:c>
      <x:c r="M53" s="39" t="str">
        <x:v>Chưa bắt đầu</x:v>
      </x:c>
      <x:c r="N53" s="40" t="n">
        <x:f>IF(L53="☑",1,IF(M53="Done",1,IF(M53="Đang làm",0.5,IF(M53="Blocked",0.25,0))))</x:f>
        <x:v>0</x:v>
      </x:c>
      <x:c r="O53" s="39" t="str"/>
      <x:c r="P53" s="39" t="str"/>
      <x:c r="Q53" s="39" t="str">
        <x:v>M06-F016, M06-F019, M06-F021</x:v>
      </x:c>
      <x:c r="R53" s="39" t="str">
        <x:v>RiskResult/history fixtures + mock object storage/export event + MockNotificationPort</x:v>
      </x:c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9" t="str">
        <x:v>W15</x:v>
      </x:c>
      <x:c r="B54" s="41" t="n">
        <x:v>46399</x:v>
      </x:c>
      <x:c r="C54" s="41" t="n">
        <x:v>46405</x:v>
      </x:c>
      <x:c r="D54" s="39" t="str">
        <x:v>P3 · Beta Preparation</x:v>
      </x:c>
      <x:c r="E54" s="39" t="str">
        <x:v>Hùng</x:v>
      </x:c>
      <x:c r="F54" s="39" t="str">
        <x:v>H-WP08</x:v>
      </x:c>
      <x:c r="G54" s="39" t="str">
        <x:v>M10</x:v>
      </x:c>
      <x:c r="H54" s="39" t="str">
        <x:v>Notification Center &amp; User Follow-up UX</x:v>
      </x:c>
      <x:c r="I54" s="39" t="str">
        <x:v>Core / Expansion</x:v>
      </x:c>
      <x:c r="J54" s="39" t="str">
        <x:v>v0.5.0-beta.1 · Public Beta</x:v>
      </x:c>
      <x:c r="K54" s="39" t="n">
        <x:v>9</x:v>
      </x:c>
      <x:c r="L54" s="39" t="str">
        <x:v>☐</x:v>
      </x:c>
      <x:c r="M54" s="39" t="str">
        <x:v>Chưa bắt đầu</x:v>
      </x:c>
      <x:c r="N54" s="40" t="n">
        <x:f>IF(L54="☑",1,IF(M54="Done",1,IF(M54="Đang làm",0.5,IF(M54="Blocked",0.25,0))))</x:f>
        <x:v>0</x:v>
      </x:c>
      <x:c r="O54" s="39" t="str"/>
      <x:c r="P54" s="39" t="str"/>
      <x:c r="Q54" s="39" t="str">
        <x:v>M10-F001, M10-F002, M10-F004, M10-F005, M10-F006, M10-F007</x:v>
      </x:c>
      <x:c r="R54" s="39" t="str">
        <x:v>InMemory/Console providers + MockNotificationPort + notification event fixtures</x:v>
      </x:c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9" t="str">
        <x:v>W15</x:v>
      </x:c>
      <x:c r="B55" s="41" t="n">
        <x:v>46399</x:v>
      </x:c>
      <x:c r="C55" s="41" t="n">
        <x:v>46405</x:v>
      </x:c>
      <x:c r="D55" s="39" t="str">
        <x:v>P3 · Beta Preparation</x:v>
      </x:c>
      <x:c r="E55" s="39" t="str">
        <x:v>Khải</x:v>
      </x:c>
      <x:c r="F55" s="39" t="str">
        <x:v>K-WP07</x:v>
      </x:c>
      <x:c r="G55" s="39" t="str">
        <x:v>M02</x:v>
      </x:c>
      <x:c r="H55" s="39" t="str">
        <x:v>Web Evidence Capture &amp; Retention</x:v>
      </x:c>
      <x:c r="I55" s="39" t="str">
        <x:v>Core / Expansion</x:v>
      </x:c>
      <x:c r="J55" s="39" t="str">
        <x:v>v0.5.0-beta.1 · Public Beta</x:v>
      </x:c>
      <x:c r="K55" s="39" t="n">
        <x:v>11</x:v>
      </x:c>
      <x:c r="L55" s="39" t="str">
        <x:v>☐</x:v>
      </x:c>
      <x:c r="M55" s="39" t="str">
        <x:v>Chưa bắt đầu</x:v>
      </x:c>
      <x:c r="N55" s="40" t="n">
        <x:f>IF(L55="☑",1,IF(M55="Done",1,IF(M55="Đang làm",0.5,IF(M55="Blocked",0.25,0))))</x:f>
        <x:v>0</x:v>
      </x:c>
      <x:c r="O55" s="39" t="str"/>
      <x:c r="P55" s="39" t="str"/>
      <x:c r="Q55" s="39" t="str">
        <x:v>M02-F046, M02-F047, M02-F048, M02-F049, M02-F050, M02-F051, M02-F052</x:v>
      </x:c>
      <x:c r="R55" s="39" t="str">
        <x:v>FakeMessageBus + MockThreatQuery + RiskResult/worker fixtures; no direct DB/core call from worker</x:v>
      </x:c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9" t="str">
        <x:v>W15</x:v>
      </x:c>
      <x:c r="B56" s="41" t="n">
        <x:v>46399</x:v>
      </x:c>
      <x:c r="C56" s="41" t="n">
        <x:v>46405</x:v>
      </x:c>
      <x:c r="D56" s="39" t="str">
        <x:v>P3 · Beta Preparation</x:v>
      </x:c>
      <x:c r="E56" s="39" t="str">
        <x:v>Kiên</x:v>
      </x:c>
      <x:c r="F56" s="39" t="str">
        <x:v>I-WP08</x:v>
      </x:c>
      <x:c r="G56" s="39" t="str">
        <x:v>M09</x:v>
      </x:c>
      <x:c r="H56" s="39" t="str">
        <x:v>Rule Preview, Simulation &amp; Shadow Evaluation</x:v>
      </x:c>
      <x:c r="I56" s="39" t="str">
        <x:v>Core / Expansion</x:v>
      </x:c>
      <x:c r="J56" s="39" t="str">
        <x:v>v0.5.0-beta.1 · Public Beta</x:v>
      </x:c>
      <x:c r="K56" s="39" t="n">
        <x:v>9</x:v>
      </x:c>
      <x:c r="L56" s="39" t="str">
        <x:v>☐</x:v>
      </x:c>
      <x:c r="M56" s="39" t="str">
        <x:v>Chưa bắt đầu</x:v>
      </x:c>
      <x:c r="N56" s="40" t="n">
        <x:f>IF(L56="☑",1,IF(M56="Done",1,IF(M56="Đang làm",0.5,IF(M56="Blocked",0.25,0))))</x:f>
        <x:v>0</x:v>
      </x:c>
      <x:c r="O56" s="39" t="str"/>
      <x:c r="P56" s="39" t="str"/>
      <x:c r="Q56" s="39" t="str">
        <x:v>M09-F017, M09-F018, M09-F019, M09-F020, M09-F021, M09-F022</x:v>
      </x:c>
      <x:c r="R56" s="39" t="str">
        <x:v>UnifiedSignalSet fixtures + deterministic policy fixtures; expose RiskEvaluationPort</x:v>
      </x:c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9" t="str">
        <x:v>W15</x:v>
      </x:c>
      <x:c r="B57" s="41" t="n">
        <x:v>46399</x:v>
      </x:c>
      <x:c r="C57" s="41" t="n">
        <x:v>46405</x:v>
      </x:c>
      <x:c r="D57" s="39" t="str">
        <x:v>P3 · Beta Preparation</x:v>
      </x:c>
      <x:c r="E57" s="39" t="str">
        <x:v>Thắng</x:v>
      </x:c>
      <x:c r="F57" s="39" t="str">
        <x:v>T-WP13</x:v>
      </x:c>
      <x:c r="G57" s="39" t="str">
        <x:v>M06</x:v>
      </x:c>
      <x:c r="H57" s="39" t="str">
        <x:v>Result Sharing &amp; External Consumption</x:v>
      </x:c>
      <x:c r="I57" s="39" t="str">
        <x:v>Core / Expansion</x:v>
      </x:c>
      <x:c r="J57" s="39" t="str">
        <x:v>v0.5.0-beta.1 · Public Beta</x:v>
      </x:c>
      <x:c r="K57" s="39" t="n">
        <x:v>4</x:v>
      </x:c>
      <x:c r="L57" s="39" t="str">
        <x:v>☐</x:v>
      </x:c>
      <x:c r="M57" s="39" t="str">
        <x:v>Chưa bắt đầu</x:v>
      </x:c>
      <x:c r="N57" s="40" t="n">
        <x:f>IF(L57="☑",1,IF(M57="Done",1,IF(M57="Đang làm",0.5,IF(M57="Blocked",0.25,0))))</x:f>
        <x:v>0</x:v>
      </x:c>
      <x:c r="O57" s="39" t="str"/>
      <x:c r="P57" s="39" t="str"/>
      <x:c r="Q57" s="39" t="str">
        <x:v>M06-F015, M06-F017, M06-F018</x:v>
      </x:c>
      <x:c r="R57" s="39" t="str">
        <x:v>RiskResult/history fixtures + mock object storage/export event + MockNotificationPort</x:v>
      </x:c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9" t="str">
        <x:v>W20</x:v>
      </x:c>
      <x:c r="B58" s="41" t="n">
        <x:v>46434</x:v>
      </x:c>
      <x:c r="C58" s="41" t="n">
        <x:v>46440</x:v>
      </x:c>
      <x:c r="D58" s="39" t="str">
        <x:v>P4 · Beta Feedback &amp; Data</x:v>
      </x:c>
      <x:c r="E58" s="39" t="str">
        <x:v>Hùng</x:v>
      </x:c>
      <x:c r="F58" s="39" t="str">
        <x:v>H-WP16</x:v>
      </x:c>
      <x:c r="G58" s="39" t="str">
        <x:v>M13</x:v>
      </x:c>
      <x:c r="H58" s="39" t="str">
        <x:v>Accessibility, i18n &amp; Mobile Entry Surfaces</x:v>
      </x:c>
      <x:c r="I58" s="39" t="str">
        <x:v>Core / Expansion</x:v>
      </x:c>
      <x:c r="J58" s="39" t="str">
        <x:v>v0.5.0-beta.3 · Feedback Release 2</x:v>
      </x:c>
      <x:c r="K58" s="39" t="n">
        <x:v>15</x:v>
      </x:c>
      <x:c r="L58" s="39" t="str">
        <x:v>☐</x:v>
      </x:c>
      <x:c r="M58" s="39" t="str">
        <x:v>Chưa bắt đầu</x:v>
      </x:c>
      <x:c r="N58" s="40" t="n">
        <x:f>IF(L58="☑",1,IF(M58="Done",1,IF(M58="Đang làm",0.5,IF(M58="Blocked",0.25,0))))</x:f>
        <x:v>0</x:v>
      </x:c>
      <x:c r="O58" s="39" t="str"/>
      <x:c r="P58" s="39" t="str"/>
      <x:c r="Q58" s="39" t="str">
        <x:v>M13-F021, M13-F022, M13-F023, M13-F024, M13-F025, M13-F026, M13-F027, M13-F028, M13-F029</x:v>
      </x:c>
      <x:c r="R58" s="39" t="str">
        <x:v>shared local compose + env templates + service test doubles; no business logic ownership</x:v>
      </x:c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9" t="str">
        <x:v>W20</x:v>
      </x:c>
      <x:c r="B59" s="41" t="n">
        <x:v>46434</x:v>
      </x:c>
      <x:c r="C59" s="41" t="n">
        <x:v>46440</x:v>
      </x:c>
      <x:c r="D59" s="39" t="str">
        <x:v>P4 · Beta Feedback &amp; Data</x:v>
      </x:c>
      <x:c r="E59" s="39" t="str">
        <x:v>Khải</x:v>
      </x:c>
      <x:c r="F59" s="39" t="str">
        <x:v>K-WP14</x:v>
      </x:c>
      <x:c r="G59" s="39" t="str">
        <x:v>M07</x:v>
      </x:c>
      <x:c r="H59" s="39" t="str">
        <x:v>Reporter Reputation &amp; Abuse Controls</x:v>
      </x:c>
      <x:c r="I59" s="39" t="str">
        <x:v>Core / Expansion</x:v>
      </x:c>
      <x:c r="J59" s="39" t="str">
        <x:v>v0.5.0-beta.3 · Feedback Release 2</x:v>
      </x:c>
      <x:c r="K59" s="39" t="n">
        <x:v>10</x:v>
      </x:c>
      <x:c r="L59" s="39" t="str">
        <x:v>☐</x:v>
      </x:c>
      <x:c r="M59" s="39" t="str">
        <x:v>Chưa bắt đầu</x:v>
      </x:c>
      <x:c r="N59" s="40" t="n">
        <x:f>IF(L59="☑",1,IF(M59="Done",1,IF(M59="Đang làm",0.5,IF(M59="Blocked",0.25,0))))</x:f>
        <x:v>0</x:v>
      </x:c>
      <x:c r="O59" s="39" t="str"/>
      <x:c r="P59" s="39" t="str"/>
      <x:c r="Q59" s="39" t="str">
        <x:v>M07-F018, M07-F019, M07-F020, M07-F021, M07-F022, M07-F023, M07-F024</x:v>
      </x:c>
      <x:c r="R59" s="39" t="str">
        <x:v>Seed report fixtures + MockThreatQuery + MockNotificationPort + InMemoryAuditPort</x:v>
      </x:c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9" t="str">
        <x:v>W20</x:v>
      </x:c>
      <x:c r="B60" s="41" t="n">
        <x:v>46434</x:v>
      </x:c>
      <x:c r="C60" s="41" t="n">
        <x:v>46440</x:v>
      </x:c>
      <x:c r="D60" s="39" t="str">
        <x:v>P4 · Beta Feedback &amp; Data</x:v>
      </x:c>
      <x:c r="E60" s="39" t="str">
        <x:v>Kiên</x:v>
      </x:c>
      <x:c r="F60" s="39" t="str">
        <x:v>I-WP10</x:v>
      </x:c>
      <x:c r="G60" s="39" t="str">
        <x:v>M09</x:v>
      </x:c>
      <x:c r="H60" s="39" t="str">
        <x:v>Risk &amp; Scam Operations Analytics</x:v>
      </x:c>
      <x:c r="I60" s="39" t="str">
        <x:v>Core / Expansion</x:v>
      </x:c>
      <x:c r="J60" s="39" t="str">
        <x:v>v0.5.0-beta.3 · Feedback Release 2</x:v>
      </x:c>
      <x:c r="K60" s="39" t="n">
        <x:v>13</x:v>
      </x:c>
      <x:c r="L60" s="39" t="str">
        <x:v>☐</x:v>
      </x:c>
      <x:c r="M60" s="39" t="str">
        <x:v>Chưa bắt đầu</x:v>
      </x:c>
      <x:c r="N60" s="40" t="n">
        <x:f>IF(L60="☑",1,IF(M60="Done",1,IF(M60="Đang làm",0.5,IF(M60="Blocked",0.25,0))))</x:f>
        <x:v>0</x:v>
      </x:c>
      <x:c r="O60" s="39" t="str"/>
      <x:c r="P60" s="39" t="str"/>
      <x:c r="Q60" s="39" t="str">
        <x:v>M09-F029, M09-F030, M09-F031, M09-F032, M09-F033, M09-F034, M09-F035, M09-F036</x:v>
      </x:c>
      <x:c r="R60" s="39" t="str">
        <x:v>UnifiedSignalSet fixtures + deterministic policy fixtures; expose RiskEvaluationPort</x:v>
      </x:c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9" t="str">
        <x:v>W20</x:v>
      </x:c>
      <x:c r="B61" s="41" t="n">
        <x:v>46434</x:v>
      </x:c>
      <x:c r="C61" s="41" t="n">
        <x:v>46440</x:v>
      </x:c>
      <x:c r="D61" s="39" t="str">
        <x:v>P4 · Beta Feedback &amp; Data</x:v>
      </x:c>
      <x:c r="E61" s="39" t="str">
        <x:v>Thắng</x:v>
      </x:c>
      <x:c r="F61" s="39" t="str">
        <x:v>T-WP05</x:v>
      </x:c>
      <x:c r="G61" s="39" t="str">
        <x:v>M03</x:v>
      </x:c>
      <x:c r="H61" s="39" t="str">
        <x:v>Keyword Dictionary Administration</x:v>
      </x:c>
      <x:c r="I61" s="39" t="str">
        <x:v>Core / Expansion</x:v>
      </x:c>
      <x:c r="J61" s="39" t="str">
        <x:v>v0.5.0-beta.3 · Feedback Release 2</x:v>
      </x:c>
      <x:c r="K61" s="39" t="n">
        <x:v>12</x:v>
      </x:c>
      <x:c r="L61" s="39" t="str">
        <x:v>☐</x:v>
      </x:c>
      <x:c r="M61" s="39" t="str">
        <x:v>Chưa bắt đầu</x:v>
      </x:c>
      <x:c r="N61" s="40" t="n">
        <x:f>IF(L61="☑",1,IF(M61="Done",1,IF(M61="Đang làm",0.5,IF(M61="Blocked",0.25,0))))</x:f>
        <x:v>0</x:v>
      </x:c>
      <x:c r="O61" s="39" t="str"/>
      <x:c r="P61" s="39" t="str"/>
      <x:c r="Q61" s="39" t="str">
        <x:v>M03-F031, M03-F032, M03-F033, M03-F034, M03-F035, M03-F036, M03-F037</x:v>
      </x:c>
      <x:c r="R61" s="39" t="str">
        <x:v>FakeMessageBus + text/AI/derived-indicator fixtures + MockRiskEvaluationPort</x:v>
      </x:c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9" t="str">
        <x:v>W21</x:v>
      </x:c>
      <x:c r="B62" s="41" t="n">
        <x:v>46441</x:v>
      </x:c>
      <x:c r="C62" s="41" t="n">
        <x:v>46447</x:v>
      </x:c>
      <x:c r="D62" s="39" t="str">
        <x:v>P4 · Beta Feedback &amp; Data</x:v>
      </x:c>
      <x:c r="E62" s="39" t="str">
        <x:v>Hùng</x:v>
      </x:c>
      <x:c r="F62" s="39" t="str">
        <x:v>H-WP15</x:v>
      </x:c>
      <x:c r="G62" s="39" t="str">
        <x:v>M13</x:v>
      </x:c>
      <x:c r="H62" s="39" t="str">
        <x:v>Runtime Metrics &amp; Alerting</x:v>
      </x:c>
      <x:c r="I62" s="39" t="str">
        <x:v>Core / Expansion</x:v>
      </x:c>
      <x:c r="J62" s="39" t="str">
        <x:v>v0.5.0-beta.3 · Feedback Release 2</x:v>
      </x:c>
      <x:c r="K62" s="39" t="n">
        <x:v>2</x:v>
      </x:c>
      <x:c r="L62" s="39" t="str">
        <x:v>☐</x:v>
      </x:c>
      <x:c r="M62" s="39" t="str">
        <x:v>Chưa bắt đầu</x:v>
      </x:c>
      <x:c r="N62" s="40" t="n">
        <x:f>IF(L62="☑",1,IF(M62="Done",1,IF(M62="Đang làm",0.5,IF(M62="Blocked",0.25,0))))</x:f>
        <x:v>0</x:v>
      </x:c>
      <x:c r="O62" s="39" t="str"/>
      <x:c r="P62" s="39" t="str"/>
      <x:c r="Q62" s="39" t="str">
        <x:v>M13-F018, M13-F019</x:v>
      </x:c>
      <x:c r="R62" s="39" t="str">
        <x:v>shared local compose + env templates + service test doubles; no business logic ownership</x:v>
      </x:c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9" t="str">
        <x:v>W21</x:v>
      </x:c>
      <x:c r="B63" s="41" t="n">
        <x:v>46441</x:v>
      </x:c>
      <x:c r="C63" s="41" t="n">
        <x:v>46447</x:v>
      </x:c>
      <x:c r="D63" s="39" t="str">
        <x:v>P4 · Beta Feedback &amp; Data</x:v>
      </x:c>
      <x:c r="E63" s="39" t="str">
        <x:v>Kiên</x:v>
      </x:c>
      <x:c r="F63" s="39" t="str">
        <x:v>I-WP16</x:v>
      </x:c>
      <x:c r="G63" s="39" t="str">
        <x:v>M14</x:v>
      </x:c>
      <x:c r="H63" s="39" t="str">
        <x:v>Cross-Pipeline Correlation &amp; Failure Trace</x:v>
      </x:c>
      <x:c r="I63" s="39" t="str">
        <x:v>Core / Expansion</x:v>
      </x:c>
      <x:c r="J63" s="39" t="str">
        <x:v>v0.5.0-beta.3 · Feedback Release 2</x:v>
      </x:c>
      <x:c r="K63" s="39" t="n">
        <x:v>5</x:v>
      </x:c>
      <x:c r="L63" s="39" t="str">
        <x:v>☐</x:v>
      </x:c>
      <x:c r="M63" s="39" t="str">
        <x:v>Chưa bắt đầu</x:v>
      </x:c>
      <x:c r="N63" s="40" t="n">
        <x:f>IF(L63="☑",1,IF(M63="Done",1,IF(M63="Đang làm",0.5,IF(M63="Blocked",0.25,0))))</x:f>
        <x:v>0</x:v>
      </x:c>
      <x:c r="O63" s="39" t="str"/>
      <x:c r="P63" s="39" t="str"/>
      <x:c r="Q63" s="39" t="str">
        <x:v>M14-F008, M14-F009</x:v>
      </x:c>
      <x:c r="R63" s="39" t="str">
        <x:v>InMemoryAuditPort + mock admin/security events + correlation fixtures</x:v>
      </x:c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9" t="str">
        <x:v>W21</x:v>
      </x:c>
      <x:c r="B64" s="41" t="n">
        <x:v>46441</x:v>
      </x:c>
      <x:c r="C64" s="41" t="n">
        <x:v>46447</x:v>
      </x:c>
      <x:c r="D64" s="39" t="str">
        <x:v>P4 · Beta Feedback &amp; Data</x:v>
      </x:c>
      <x:c r="E64" s="39" t="str">
        <x:v>Thắng</x:v>
      </x:c>
      <x:c r="F64" s="39" t="str">
        <x:v>T-WP06</x:v>
      </x:c>
      <x:c r="G64" s="39" t="str">
        <x:v>M03</x:v>
      </x:c>
      <x:c r="H64" s="39" t="str">
        <x:v>Multi-turn Conversation Analysis</x:v>
      </x:c>
      <x:c r="I64" s="39" t="str">
        <x:v>Core / Expansion</x:v>
      </x:c>
      <x:c r="J64" s="39" t="str">
        <x:v>v0.5.0-beta.3 · Feedback Release 2</x:v>
      </x:c>
      <x:c r="K64" s="39" t="n">
        <x:v>9</x:v>
      </x:c>
      <x:c r="L64" s="39" t="str">
        <x:v>☐</x:v>
      </x:c>
      <x:c r="M64" s="39" t="str">
        <x:v>Chưa bắt đầu</x:v>
      </x:c>
      <x:c r="N64" s="40" t="n">
        <x:f>IF(L64="☑",1,IF(M64="Done",1,IF(M64="Đang làm",0.5,IF(M64="Blocked",0.25,0))))</x:f>
        <x:v>0</x:v>
      </x:c>
      <x:c r="O64" s="39" t="str"/>
      <x:c r="P64" s="39" t="str"/>
      <x:c r="Q64" s="39" t="str">
        <x:v>M03-F038, M03-F039, M03-F040, M03-F041, M03-F042, M03-F043</x:v>
      </x:c>
      <x:c r="R64" s="39" t="str">
        <x:v>FakeMessageBus + text/AI/derived-indicator fixtures + MockRiskEvaluationPort</x:v>
      </x:c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9" t="str">
        <x:v>W22</x:v>
      </x:c>
      <x:c r="B65" s="41" t="n">
        <x:v>46448</x:v>
      </x:c>
      <x:c r="C65" s="41" t="n">
        <x:v>46454</x:v>
      </x:c>
      <x:c r="D65" s="39" t="str">
        <x:v>P4 · Beta Feedback &amp; Data</x:v>
      </x:c>
      <x:c r="E65" s="39" t="str">
        <x:v>Hùng</x:v>
      </x:c>
      <x:c r="F65" s="39" t="str">
        <x:v>H-WP06</x:v>
      </x:c>
      <x:c r="G65" s="39" t="str">
        <x:v>M01</x:v>
      </x:c>
      <x:c r="H65" s="39" t="str">
        <x:v>Advanced Account Security</x:v>
      </x:c>
      <x:c r="I65" s="39" t="str">
        <x:v>Core / Expansion</x:v>
      </x:c>
      <x:c r="J65" s="39" t="str">
        <x:v>v0.5.0-beta.4 · Feedback Release 3</x:v>
      </x:c>
      <x:c r="K65" s="39" t="n">
        <x:v>9</x:v>
      </x:c>
      <x:c r="L65" s="39" t="str">
        <x:v>☐</x:v>
      </x:c>
      <x:c r="M65" s="39" t="str">
        <x:v>Chưa bắt đầu</x:v>
      </x:c>
      <x:c r="N65" s="40" t="n">
        <x:f>IF(L65="☑",1,IF(M65="Done",1,IF(M65="Đang làm",0.5,IF(M65="Blocked",0.25,0))))</x:f>
        <x:v>0</x:v>
      </x:c>
      <x:c r="O65" s="39" t="str"/>
      <x:c r="P65" s="39" t="str"/>
      <x:c r="Q65" s="39" t="str">
        <x:v>M01-F028, M01-F029, M01-F030, M01-F031, M01-F032, M01-F033</x:v>
      </x:c>
      <x:c r="R65" s="39" t="str">
        <x:v>MockNotificationPort + FakeAccessContext/EntitlementContext; external IdP behind adapter</x:v>
      </x:c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9" t="str">
        <x:v>W22</x:v>
      </x:c>
      <x:c r="B66" s="41" t="n">
        <x:v>46448</x:v>
      </x:c>
      <x:c r="C66" s="41" t="n">
        <x:v>46454</x:v>
      </x:c>
      <x:c r="D66" s="39" t="str">
        <x:v>P4 · Beta Feedback &amp; Data</x:v>
      </x:c>
      <x:c r="E66" s="39" t="str">
        <x:v>Kiên</x:v>
      </x:c>
      <x:c r="F66" s="39" t="str">
        <x:v>I-WP17</x:v>
      </x:c>
      <x:c r="G66" s="39" t="str">
        <x:v>M14</x:v>
      </x:c>
      <x:c r="H66" s="39" t="str">
        <x:v>Audit Query, Operations UI &amp; Investigation</x:v>
      </x:c>
      <x:c r="I66" s="39" t="str">
        <x:v>Core / Expansion</x:v>
      </x:c>
      <x:c r="J66" s="39" t="str">
        <x:v>v0.5.0-beta.4 · Feedback Release 3</x:v>
      </x:c>
      <x:c r="K66" s="39" t="n">
        <x:v>8</x:v>
      </x:c>
      <x:c r="L66" s="39" t="str">
        <x:v>☐</x:v>
      </x:c>
      <x:c r="M66" s="39" t="str">
        <x:v>Chưa bắt đầu</x:v>
      </x:c>
      <x:c r="N66" s="40" t="n">
        <x:f>IF(L66="☑",1,IF(M66="Done",1,IF(M66="Đang làm",0.5,IF(M66="Blocked",0.25,0))))</x:f>
        <x:v>0</x:v>
      </x:c>
      <x:c r="O66" s="39" t="str"/>
      <x:c r="P66" s="39" t="str"/>
      <x:c r="Q66" s="39" t="str">
        <x:v>M14-F004, M14-F005, M14-F006, M14-F007, M14-F010</x:v>
      </x:c>
      <x:c r="R66" s="39" t="str">
        <x:v>InMemoryAuditPort + mock admin/security events + correlation fixtures</x:v>
      </x:c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9" t="str">
        <x:v>W22</x:v>
      </x:c>
      <x:c r="B67" s="41" t="n">
        <x:v>46448</x:v>
      </x:c>
      <x:c r="C67" s="41" t="n">
        <x:v>46454</x:v>
      </x:c>
      <x:c r="D67" s="39" t="str">
        <x:v>P4 · Beta Feedback &amp; Data</x:v>
      </x:c>
      <x:c r="E67" s="39" t="str">
        <x:v>Thắng</x:v>
      </x:c>
      <x:c r="F67" s="39" t="str">
        <x:v>T-WP17</x:v>
      </x:c>
      <x:c r="G67" s="39" t="str">
        <x:v>M11</x:v>
      </x:c>
      <x:c r="H67" s="39" t="str">
        <x:v>AI Safety, Prompt/Output Guardrails &amp; Cache Options</x:v>
      </x:c>
      <x:c r="I67" s="39" t="str">
        <x:v>Core / Expansion</x:v>
      </x:c>
      <x:c r="J67" s="39" t="str">
        <x:v>v0.5.0-beta.4 · Feedback Release 3</x:v>
      </x:c>
      <x:c r="K67" s="39" t="n">
        <x:v>2</x:v>
      </x:c>
      <x:c r="L67" s="39" t="str">
        <x:v>☐</x:v>
      </x:c>
      <x:c r="M67" s="39" t="str">
        <x:v>Chưa bắt đầu</x:v>
      </x:c>
      <x:c r="N67" s="40" t="n">
        <x:f>IF(L67="☑",1,IF(M67="Done",1,IF(M67="Đang làm",0.5,IF(M67="Blocked",0.25,0))))</x:f>
        <x:v>0</x:v>
      </x:c>
      <x:c r="O67" s="39" t="str"/>
      <x:c r="P67" s="39" t="str"/>
      <x:c r="Q67" s="39" t="str">
        <x:v>M11-F007, M11-F008</x:v>
      </x:c>
      <x:c r="R67" s="39" t="str">
        <x:v>FakeMessageBus + ai request/result fixtures + mock provider adapters</x:v>
      </x:c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9" t="str">
        <x:v>W23</x:v>
      </x:c>
      <x:c r="B68" s="41" t="n">
        <x:v>46455</x:v>
      </x:c>
      <x:c r="C68" s="41" t="n">
        <x:v>46461</x:v>
      </x:c>
      <x:c r="D68" s="39" t="str">
        <x:v>P4 · Beta Feedback &amp; Data</x:v>
      </x:c>
      <x:c r="E68" s="39" t="str">
        <x:v>Thắng</x:v>
      </x:c>
      <x:c r="F68" s="39" t="str">
        <x:v>T-WP09</x:v>
      </x:c>
      <x:c r="G68" s="39" t="str">
        <x:v>M05</x:v>
      </x:c>
      <x:c r="H68" s="39" t="str">
        <x:v>Advanced QR Safety Checks</x:v>
      </x:c>
      <x:c r="I68" s="39" t="str">
        <x:v>Core / Expansion</x:v>
      </x:c>
      <x:c r="J68" s="39" t="str">
        <x:v>v0.5.0-beta.4 · Feedback Release 3</x:v>
      </x:c>
      <x:c r="K68" s="39" t="n">
        <x:v>2</x:v>
      </x:c>
      <x:c r="L68" s="39" t="str">
        <x:v>☐</x:v>
      </x:c>
      <x:c r="M68" s="39" t="str">
        <x:v>Chưa bắt đầu</x:v>
      </x:c>
      <x:c r="N68" s="40" t="n">
        <x:f>IF(L68="☑",1,IF(M68="Done",1,IF(M68="Đang làm",0.5,IF(M68="Blocked",0.25,0))))</x:f>
        <x:v>0</x:v>
      </x:c>
      <x:c r="O68" s="39" t="str"/>
      <x:c r="P68" s="39" t="str"/>
      <x:c r="Q68" s="39" t="str">
        <x:v>M05-F007, M05-F008</x:v>
      </x:c>
      <x:c r="R68" s="39" t="str">
        <x:v>QR fixtures + fake scan-platform/child-scan adapter; SSRF handled by M02 contract</x:v>
      </x:c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9" t="str">
        <x:v>W28</x:v>
      </x:c>
      <x:c r="B69" s="41" t="n">
        <x:v>46490</x:v>
      </x:c>
      <x:c r="C69" s="41" t="n">
        <x:v>46496</x:v>
      </x:c>
      <x:c r="D69" s="39" t="str">
        <x:v>P5 · Research, Quality &amp; Completion</x:v>
      </x:c>
      <x:c r="E69" s="39" t="str">
        <x:v>Hùng</x:v>
      </x:c>
      <x:c r="F69" s="39" t="str">
        <x:v>H-FWP01</x:v>
      </x:c>
      <x:c r="G69" s="39" t="str">
        <x:v>FUTURE</x:v>
      </x:c>
      <x:c r="H69" s="39" t="str">
        <x:v>Future Entitlements, Plans &amp; Subscription Boundary</x:v>
      </x:c>
      <x:c r="I69" s="39" t="str">
        <x:v>Optional / Future</x:v>
      </x:c>
      <x:c r="J69" s="39" t="str">
        <x:v>v0.7.0 · Feature Complete Candidate</x:v>
      </x:c>
      <x:c r="K69" s="39" t="n">
        <x:v>4</x:v>
      </x:c>
      <x:c r="L69" s="39" t="str">
        <x:v>☐</x:v>
      </x:c>
      <x:c r="M69" s="39" t="str">
        <x:v>Chưa bắt đầu</x:v>
      </x:c>
      <x:c r="N69" s="40" t="n">
        <x:f>IF(L69="☑",1,IF(M69="Done",1,IF(M69="Đang làm",0.5,IF(M69="Blocked",0.25,0))))</x:f>
        <x:v>0</x:v>
      </x:c>
      <x:c r="O69" s="39" t="str"/>
      <x:c r="P69" s="39" t="str"/>
      <x:c r="Q69" s="39" t="str">
        <x:v>FUTURE-F025, FUTURE-F026, FUTURE-F027, FUTURE-F028</x:v>
      </x:c>
      <x:c r="R69" s="39" t="str">
        <x:v>Build against current public ports/fixtures; must not change MVP contracts until promoted</x:v>
      </x:c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9" t="str">
        <x:v>W28</x:v>
      </x:c>
      <x:c r="B70" s="41" t="n">
        <x:v>46490</x:v>
      </x:c>
      <x:c r="C70" s="41" t="n">
        <x:v>46496</x:v>
      </x:c>
      <x:c r="D70" s="39" t="str">
        <x:v>P5 · Research, Quality &amp; Completion</x:v>
      </x:c>
      <x:c r="E70" s="39" t="str">
        <x:v>Khải</x:v>
      </x:c>
      <x:c r="F70" s="39" t="str">
        <x:v>K-FWP01</x:v>
      </x:c>
      <x:c r="G70" s="39" t="str">
        <x:v>FUTURE</x:v>
      </x:c>
      <x:c r="H70" s="39" t="str">
        <x:v>Browser Extension Protection Surface</x:v>
      </x:c>
      <x:c r="I70" s="39" t="str">
        <x:v>Optional / Future</x:v>
      </x:c>
      <x:c r="J70" s="39" t="str">
        <x:v>v0.7.0 · Feature Complete Candidate</x:v>
      </x:c>
      <x:c r="K70" s="39" t="n">
        <x:v>6</x:v>
      </x:c>
      <x:c r="L70" s="39" t="str">
        <x:v>☐</x:v>
      </x:c>
      <x:c r="M70" s="39" t="str">
        <x:v>Chưa bắt đầu</x:v>
      </x:c>
      <x:c r="N70" s="40" t="n">
        <x:f>IF(L70="☑",1,IF(M70="Done",1,IF(M70="Đang làm",0.5,IF(M70="Blocked",0.25,0))))</x:f>
        <x:v>0</x:v>
      </x:c>
      <x:c r="O70" s="39" t="str"/>
      <x:c r="P70" s="39" t="str"/>
      <x:c r="Q70" s="39" t="str">
        <x:v>FUTURE-F001, FUTURE-F002, FUTURE-F003, FUTURE-F004, FUTURE-F005, FUTURE-F006</x:v>
      </x:c>
      <x:c r="R70" s="39" t="str">
        <x:v>Build against current public ports/fixtures; must not change MVP contracts until promoted</x:v>
      </x:c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9" t="str">
        <x:v>W29</x:v>
      </x:c>
      <x:c r="B71" s="41" t="n">
        <x:v>46497</x:v>
      </x:c>
      <x:c r="C71" s="41" t="n">
        <x:v>46503</x:v>
      </x:c>
      <x:c r="D71" s="39" t="str">
        <x:v>P5 · Research, Quality &amp; Completion</x:v>
      </x:c>
      <x:c r="E71" s="39" t="str">
        <x:v>Kiên</x:v>
      </x:c>
      <x:c r="F71" s="39" t="str">
        <x:v>I-FWP01</x:v>
      </x:c>
      <x:c r="G71" s="39" t="str">
        <x:v>FUTURE</x:v>
      </x:c>
      <x:c r="H71" s="39" t="str">
        <x:v>Knowledge Library &amp; Editorial Workflow</x:v>
      </x:c>
      <x:c r="I71" s="39" t="str">
        <x:v>Optional / Future</x:v>
      </x:c>
      <x:c r="J71" s="39" t="str">
        <x:v>v0.7.0 · Feature Complete Candidate</x:v>
      </x:c>
      <x:c r="K71" s="39" t="n">
        <x:v>6</x:v>
      </x:c>
      <x:c r="L71" s="39" t="str">
        <x:v>☐</x:v>
      </x:c>
      <x:c r="M71" s="39" t="str">
        <x:v>Chưa bắt đầu</x:v>
      </x:c>
      <x:c r="N71" s="40" t="n">
        <x:f>IF(L71="☑",1,IF(M71="Done",1,IF(M71="Đang làm",0.5,IF(M71="Blocked",0.25,0))))</x:f>
        <x:v>0</x:v>
      </x:c>
      <x:c r="O71" s="39" t="str"/>
      <x:c r="P71" s="39" t="str"/>
      <x:c r="Q71" s="39" t="str">
        <x:v>FUTURE-F007, FUTURE-F008, FUTURE-F009, FUTURE-F010, FUTURE-F011, FUTURE-F012</x:v>
      </x:c>
      <x:c r="R71" s="39" t="str">
        <x:v>Build against current public ports/fixtures; must not change MVP contracts until promoted</x:v>
      </x:c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9" t="str">
        <x:v>W29</x:v>
      </x:c>
      <x:c r="B72" s="41" t="n">
        <x:v>46497</x:v>
      </x:c>
      <x:c r="C72" s="41" t="n">
        <x:v>46503</x:v>
      </x:c>
      <x:c r="D72" s="39" t="str">
        <x:v>P5 · Research, Quality &amp; Completion</x:v>
      </x:c>
      <x:c r="E72" s="39" t="str">
        <x:v>Thắng</x:v>
      </x:c>
      <x:c r="F72" s="39" t="str">
        <x:v>T-FWP01</x:v>
      </x:c>
      <x:c r="G72" s="39" t="str">
        <x:v>FUTURE</x:v>
      </x:c>
      <x:c r="H72" s="39" t="str">
        <x:v>Scam Q&amp;A Assistant</x:v>
      </x:c>
      <x:c r="I72" s="39" t="str">
        <x:v>Optional / Future</x:v>
      </x:c>
      <x:c r="J72" s="39" t="str">
        <x:v>v0.7.0 · Feature Complete Candidate</x:v>
      </x:c>
      <x:c r="K72" s="39" t="n">
        <x:v>6</x:v>
      </x:c>
      <x:c r="L72" s="39" t="str">
        <x:v>☐</x:v>
      </x:c>
      <x:c r="M72" s="39" t="str">
        <x:v>Chưa bắt đầu</x:v>
      </x:c>
      <x:c r="N72" s="40" t="n">
        <x:f>IF(L72="☑",1,IF(M72="Done",1,IF(M72="Đang làm",0.5,IF(M72="Blocked",0.25,0))))</x:f>
        <x:v>0</x:v>
      </x:c>
      <x:c r="O72" s="39" t="str"/>
      <x:c r="P72" s="39" t="str"/>
      <x:c r="Q72" s="39" t="str">
        <x:v>FUTURE-F013, FUTURE-F014, FUTURE-F015, FUTURE-F016, FUTURE-F017, FUTURE-F018</x:v>
      </x:c>
      <x:c r="R72" s="39" t="str">
        <x:v>Build against current public ports/fixtures; must not change MVP contracts until promoted</x:v>
      </x:c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9" t="str">
        <x:v>W32</x:v>
      </x:c>
      <x:c r="B73" s="41" t="n">
        <x:v>46518</x:v>
      </x:c>
      <x:c r="C73" s="41" t="n">
        <x:v>46524</x:v>
      </x:c>
      <x:c r="D73" s="39" t="str">
        <x:v>P6 · Final Product/Data Freeze</x:v>
      </x:c>
      <x:c r="E73" s="39" t="str">
        <x:v>Hùng</x:v>
      </x:c>
      <x:c r="F73" s="39" t="str">
        <x:v>H-FWP02</x:v>
      </x:c>
      <x:c r="G73" s="39" t="str">
        <x:v>FUTURE</x:v>
      </x:c>
      <x:c r="H73" s="39" t="str">
        <x:v>Future Usage, Credit Ledger &amp; API Credentials</x:v>
      </x:c>
      <x:c r="I73" s="39" t="str">
        <x:v>Optional / Future</x:v>
      </x:c>
      <x:c r="J73" s="39" t="str">
        <x:v>v1.0.0-rc1 · Release Candidate</x:v>
      </x:c>
      <x:c r="K73" s="39" t="n">
        <x:v>5</x:v>
      </x:c>
      <x:c r="L73" s="39" t="str">
        <x:v>☐</x:v>
      </x:c>
      <x:c r="M73" s="39" t="str">
        <x:v>Chưa bắt đầu</x:v>
      </x:c>
      <x:c r="N73" s="40" t="n">
        <x:f>IF(L73="☑",1,IF(M73="Done",1,IF(M73="Đang làm",0.5,IF(M73="Blocked",0.25,0))))</x:f>
        <x:v>0</x:v>
      </x:c>
      <x:c r="O73" s="39" t="str"/>
      <x:c r="P73" s="39" t="str"/>
      <x:c r="Q73" s="39" t="str">
        <x:v>FUTURE-F029, FUTURE-F030, FUTURE-F031, FUTURE-F032, FUTURE-F033</x:v>
      </x:c>
      <x:c r="R73" s="39" t="str">
        <x:v>Build against current public ports/fixtures; must not change MVP contracts until promoted</x:v>
      </x:c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9" t="str">
        <x:v>W32</x:v>
      </x:c>
      <x:c r="B74" s="41" t="n">
        <x:v>46518</x:v>
      </x:c>
      <x:c r="C74" s="41" t="n">
        <x:v>46524</x:v>
      </x:c>
      <x:c r="D74" s="39" t="str">
        <x:v>P6 · Final Product/Data Freeze</x:v>
      </x:c>
      <x:c r="E74" s="39" t="str">
        <x:v>Khải</x:v>
      </x:c>
      <x:c r="F74" s="39" t="str">
        <x:v>K-FWP02</x:v>
      </x:c>
      <x:c r="G74" s="39" t="str">
        <x:v>FUTURE</x:v>
      </x:c>
      <x:c r="H74" s="39" t="str">
        <x:v>Community Contribution Gamification</x:v>
      </x:c>
      <x:c r="I74" s="39" t="str">
        <x:v>Optional / Future</x:v>
      </x:c>
      <x:c r="J74" s="39" t="str">
        <x:v>v1.0.0-rc1 · Release Candidate</x:v>
      </x:c>
      <x:c r="K74" s="39" t="n">
        <x:v>3</x:v>
      </x:c>
      <x:c r="L74" s="39" t="str">
        <x:v>☐</x:v>
      </x:c>
      <x:c r="M74" s="39" t="str">
        <x:v>Chưa bắt đầu</x:v>
      </x:c>
      <x:c r="N74" s="40" t="n">
        <x:f>IF(L74="☑",1,IF(M74="Done",1,IF(M74="Đang làm",0.5,IF(M74="Blocked",0.25,0))))</x:f>
        <x:v>0</x:v>
      </x:c>
      <x:c r="O74" s="39" t="str"/>
      <x:c r="P74" s="39" t="str"/>
      <x:c r="Q74" s="39" t="str">
        <x:v>FUTURE-F021, FUTURE-F022, FUTURE-F023</x:v>
      </x:c>
      <x:c r="R74" s="39" t="str">
        <x:v>Build against current public ports/fixtures; must not change MVP contracts until promoted</x:v>
      </x:c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9" t="str">
        <x:v>W33</x:v>
      </x:c>
      <x:c r="B75" s="41" t="n">
        <x:v>46525</x:v>
      </x:c>
      <x:c r="C75" s="41" t="n">
        <x:v>46531</x:v>
      </x:c>
      <x:c r="D75" s="39" t="str">
        <x:v>P6 · Final Product/Data Freeze</x:v>
      </x:c>
      <x:c r="E75" s="39" t="str">
        <x:v>Kiên</x:v>
      </x:c>
      <x:c r="F75" s="39" t="str">
        <x:v>I-FWP02</x:v>
      </x:c>
      <x:c r="G75" s="39" t="str">
        <x:v>FUTURE</x:v>
      </x:c>
      <x:c r="H75" s="39" t="str">
        <x:v>Anti-Scam Quiz &amp; Learning Evaluation</x:v>
      </x:c>
      <x:c r="I75" s="39" t="str">
        <x:v>Optional / Future</x:v>
      </x:c>
      <x:c r="J75" s="39" t="str">
        <x:v>v1.0.0-rc1 · Release Candidate</x:v>
      </x:c>
      <x:c r="K75" s="39" t="n">
        <x:v>2</x:v>
      </x:c>
      <x:c r="L75" s="39" t="str">
        <x:v>☐</x:v>
      </x:c>
      <x:c r="M75" s="39" t="str">
        <x:v>Chưa bắt đầu</x:v>
      </x:c>
      <x:c r="N75" s="40" t="n">
        <x:f>IF(L75="☑",1,IF(M75="Done",1,IF(M75="Đang làm",0.5,IF(M75="Blocked",0.25,0))))</x:f>
        <x:v>0</x:v>
      </x:c>
      <x:c r="O75" s="39" t="str"/>
      <x:c r="P75" s="39" t="str"/>
      <x:c r="Q75" s="39" t="str">
        <x:v>FUTURE-F019, FUTURE-F020</x:v>
      </x:c>
      <x:c r="R75" s="39" t="str">
        <x:v>Build against current public ports/fixtures; must not change MVP contracts until promoted</x:v>
      </x:c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9" t="str">
        <x:v>W33</x:v>
      </x:c>
      <x:c r="B76" s="41" t="n">
        <x:v>46525</x:v>
      </x:c>
      <x:c r="C76" s="41" t="n">
        <x:v>46531</x:v>
      </x:c>
      <x:c r="D76" s="39" t="str">
        <x:v>P6 · Final Product/Data Freeze</x:v>
      </x:c>
      <x:c r="E76" s="39" t="str">
        <x:v>Thắng</x:v>
      </x:c>
      <x:c r="F76" s="39" t="str">
        <x:v>T-FWP02</x:v>
      </x:c>
      <x:c r="G76" s="39" t="str">
        <x:v>FUTURE</x:v>
      </x:c>
      <x:c r="H76" s="39" t="str">
        <x:v>Social Sharing for Learning/Engagement</x:v>
      </x:c>
      <x:c r="I76" s="39" t="str">
        <x:v>Optional / Future</x:v>
      </x:c>
      <x:c r="J76" s="39" t="str">
        <x:v>v1.0.0-rc1 · Release Candidate</x:v>
      </x:c>
      <x:c r="K76" s="39" t="n">
        <x:v>1</x:v>
      </x:c>
      <x:c r="L76" s="39" t="str">
        <x:v>☐</x:v>
      </x:c>
      <x:c r="M76" s="39" t="str">
        <x:v>Chưa bắt đầu</x:v>
      </x:c>
      <x:c r="N76" s="40" t="n">
        <x:f>IF(L76="☑",1,IF(M76="Done",1,IF(M76="Đang làm",0.5,IF(M76="Blocked",0.25,0))))</x:f>
        <x:v>0</x:v>
      </x:c>
      <x:c r="O76" s="39" t="str"/>
      <x:c r="P76" s="39" t="str"/>
      <x:c r="Q76" s="39" t="str">
        <x:v>FUTURE-F024</x:v>
      </x:c>
      <x:c r="R76" s="39" t="str">
        <x:v>Build against current public ports/fixtures; must not change MVP contracts until promoted</x:v>
      </x:c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conditionalFormatting sqref="L2:L76">
    <x:cfRule type="expression" dxfId="0" priority="1">
      <x:formula>L2="☑"</x:formula>
    </x:cfRule>
  </x:conditionalFormatting>
  <x:conditionalFormatting sqref="M2:M76">
    <x:cfRule type="expression" dxfId="1" priority="2">
      <x:formula>M2="Blocked"</x:formula>
    </x:cfRule>
    <x:cfRule type="expression" dxfId="2" priority="3">
      <x:formula>M2="Đang làm"</x:formula>
    </x:cfRule>
    <x:cfRule type="expression" dxfId="3" priority="4">
      <x:formula>M2="Done"</x:formula>
    </x:cfRule>
  </x:conditionalFormatting>
  <x:dataValidations count="2">
    <x:dataValidation type="list" sqref="L2:L76">
      <x:formula1>"☐,☑"</x:formula1>
    </x:dataValidation>
    <x:dataValidation type="list" sqref="M2:M76">
      <x:formula1>"Chưa bắt đầu,Đang làm,Blocked,Done,Deferred"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be253823f44e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8" t="str">
        <x:v>Cycle</x:v>
      </x:c>
      <x:c r="B1" s="28" t="str">
        <x:v>Start</x:v>
      </x:c>
      <x:c r="C1" s="28" t="str">
        <x:v>End</x:v>
      </x:c>
      <x:c r="D1" s="28" t="str">
        <x:v>Phase</x:v>
      </x:c>
      <x:c r="E1" s="28" t="str">
        <x:v>Hùng</x:v>
      </x:c>
      <x:c r="F1" s="28" t="str">
        <x:v>Khải</x:v>
      </x:c>
      <x:c r="G1" s="28" t="str">
        <x:v>Kiên</x:v>
      </x:c>
      <x:c r="H1" s="28" t="str">
        <x:v>Thắng</x:v>
      </x:c>
      <x:c r="I1" s="28" t="str">
        <x:v>Recurring / QA</x:v>
      </x:c>
      <x:c r="J1" s="28" t="str">
        <x:v>Release / Milestone</x:v>
      </x:c>
      <x:c r="K1" s="28" t="str">
        <x:v>GV Thứ 3</x:v>
      </x:c>
      <x:c r="L1" s="28" t="str">
        <x:v>T5 Meeting</x:v>
      </x:c>
      <x:c r="M1" s="28" t="str">
        <x:v>T7 Meeting</x:v>
      </x:c>
      <x:c r="N1" s="28" t="str">
        <x:v>T2 Summary</x:v>
      </x:c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B0</x:v>
      </x:c>
      <x:c r="B2" s="41" t="n">
        <x:v>46292</x:v>
      </x:c>
      <x:c r="C2" s="41" t="n">
        <x:v>46300</x:v>
      </x:c>
      <x:c r="D2" s="39" t="str">
        <x:v>P1 · MVP</x:v>
      </x:c>
      <x:c r="E2" s="39" t="str">
        <x:v>H-WP03</x:v>
      </x:c>
      <x:c r="F2" s="39" t="str">
        <x:v>K-WP01</x:v>
      </x:c>
      <x:c r="G2" s="39" t="str">
        <x:v>I-WP11</x:v>
      </x:c>
      <x:c r="H2" s="39" t="str">
        <x:v>T-WP01</x:v>
      </x:c>
      <x:c r="I2" s="39" t="str">
        <x:v>Contract test + integration smoke + cập nhật tracker</x:v>
      </x:c>
      <x:c r="J2" s="39" t="str">
        <x:v>—</x:v>
      </x:c>
      <x:c r="K2" s="39" t="str">
        <x:v>Có</x:v>
      </x:c>
      <x:c r="L2" s="41" t="n">
        <x:v>46296</x:v>
      </x:c>
      <x:c r="M2" s="41" t="n">
        <x:v>46298</x:v>
      </x:c>
      <x:c r="N2" s="41" t="n">
        <x:v>46300</x:v>
      </x:c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W01</x:v>
      </x:c>
      <x:c r="B3" s="41" t="n">
        <x:v>46301</x:v>
      </x:c>
      <x:c r="C3" s="41" t="n">
        <x:v>46307</x:v>
      </x:c>
      <x:c r="D3" s="39" t="str">
        <x:v>P1 · MVP</x:v>
      </x:c>
      <x:c r="E3" s="39" t="str">
        <x:v>H-WP01</x:v>
      </x:c>
      <x:c r="F3" s="39" t="str">
        <x:v>K-WP02</x:v>
      </x:c>
      <x:c r="G3" s="39" t="str">
        <x:v>I-WP12</x:v>
      </x:c>
      <x:c r="H3" s="39" t="str">
        <x:v>T-WP02</x:v>
      </x:c>
      <x:c r="I3" s="39" t="str">
        <x:v>Contract test + integration smoke + cập nhật tracker</x:v>
      </x:c>
      <x:c r="J3" s="39" t="str">
        <x:v>—</x:v>
      </x:c>
      <x:c r="K3" s="39" t="str">
        <x:v>Có</x:v>
      </x:c>
      <x:c r="L3" s="41" t="n">
        <x:v>46303</x:v>
      </x:c>
      <x:c r="M3" s="41" t="n">
        <x:v>46305</x:v>
      </x:c>
      <x:c r="N3" s="41" t="n">
        <x:v>46307</x:v>
      </x:c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W02</x:v>
      </x:c>
      <x:c r="B4" s="41" t="n">
        <x:v>46308</x:v>
      </x:c>
      <x:c r="C4" s="41" t="n">
        <x:v>46314</x:v>
      </x:c>
      <x:c r="D4" s="39" t="str">
        <x:v>P1 · MVP</x:v>
      </x:c>
      <x:c r="E4" s="39" t="str">
        <x:v>H-WP05</x:v>
      </x:c>
      <x:c r="F4" s="39" t="str">
        <x:v>K-WP08</x:v>
      </x:c>
      <x:c r="G4" s="39" t="str">
        <x:v>I-WP05</x:v>
      </x:c>
      <x:c r="H4" s="39" t="str">
        <x:v>T-WP12</x:v>
      </x:c>
      <x:c r="I4" s="39" t="str">
        <x:v>Contract test + integration smoke + cập nhật tracker</x:v>
      </x:c>
      <x:c r="J4" s="39" t="str">
        <x:v>—</x:v>
      </x:c>
      <x:c r="K4" s="39" t="str">
        <x:v>Có</x:v>
      </x:c>
      <x:c r="L4" s="41" t="n">
        <x:v>46310</x:v>
      </x:c>
      <x:c r="M4" s="41" t="n">
        <x:v>46312</x:v>
      </x:c>
      <x:c r="N4" s="41" t="n">
        <x:v>46314</x:v>
      </x:c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W03</x:v>
      </x:c>
      <x:c r="B5" s="41" t="n">
        <x:v>46315</x:v>
      </x:c>
      <x:c r="C5" s="41" t="n">
        <x:v>46321</x:v>
      </x:c>
      <x:c r="D5" s="39" t="str">
        <x:v>P1 · MVP</x:v>
      </x:c>
      <x:c r="E5" s="39" t="str">
        <x:v>H-WP07</x:v>
      </x:c>
      <x:c r="F5" s="39" t="str">
        <x:v>K-WP04</x:v>
      </x:c>
      <x:c r="G5" s="39" t="str">
        <x:v>I-WP06</x:v>
      </x:c>
      <x:c r="H5" s="39" t="str">
        <x:v>T-WP10</x:v>
      </x:c>
      <x:c r="I5" s="39" t="str">
        <x:v>Contract test + integration smoke + cập nhật tracker</x:v>
      </x:c>
      <x:c r="J5" s="39" t="str">
        <x:v>—</x:v>
      </x:c>
      <x:c r="K5" s="39" t="str">
        <x:v>Có</x:v>
      </x:c>
      <x:c r="L5" s="41" t="n">
        <x:v>46317</x:v>
      </x:c>
      <x:c r="M5" s="41" t="n">
        <x:v>46319</x:v>
      </x:c>
      <x:c r="N5" s="41" t="n">
        <x:v>46321</x:v>
      </x:c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W04</x:v>
      </x:c>
      <x:c r="B6" s="41" t="n">
        <x:v>46322</x:v>
      </x:c>
      <x:c r="C6" s="41" t="n">
        <x:v>46328</x:v>
      </x:c>
      <x:c r="D6" s="39" t="str">
        <x:v>P2 · Core Expansion</x:v>
      </x:c>
      <x:c r="E6" s="39" t="str">
        <x:v>H-WP12</x:v>
      </x:c>
      <x:c r="F6" s="39" t="str">
        <x:v>K-WP05</x:v>
      </x:c>
      <x:c r="G6" s="39" t="str">
        <x:v>I-WP15</x:v>
      </x:c>
      <x:c r="H6" s="39" t="str">
        <x:v>T-WP07</x:v>
      </x:c>
      <x:c r="I6" s="39" t="str">
        <x:v>Contract test + integration smoke + cập nhật tracker</x:v>
      </x:c>
      <x:c r="J6" s="39" t="str">
        <x:v>30/10: v0.1.0 — MVP</x:v>
      </x:c>
      <x:c r="K6" s="39" t="str">
        <x:v>Có</x:v>
      </x:c>
      <x:c r="L6" s="41" t="n">
        <x:v>46324</x:v>
      </x:c>
      <x:c r="M6" s="41" t="n">
        <x:v>46326</x:v>
      </x:c>
      <x:c r="N6" s="41" t="n">
        <x:v>46328</x:v>
      </x:c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W05</x:v>
      </x:c>
      <x:c r="B7" s="41" t="n">
        <x:v>46329</x:v>
      </x:c>
      <x:c r="C7" s="41" t="n">
        <x:v>46335</x:v>
      </x:c>
      <x:c r="D7" s="39" t="str">
        <x:v>P2 · Core Expansion</x:v>
      </x:c>
      <x:c r="E7" s="39" t="str">
        <x:v>H-WP13</x:v>
      </x:c>
      <x:c r="F7" s="39" t="str">
        <x:v>K-WP09</x:v>
      </x:c>
      <x:c r="G7" s="39" t="str">
        <x:v>I-WP04</x:v>
      </x:c>
      <x:c r="H7" s="39" t="str">
        <x:v>T-WP03</x:v>
      </x:c>
      <x:c r="I7" s="39" t="str">
        <x:v>Contract test + integration smoke + cập nhật tracker</x:v>
      </x:c>
      <x:c r="J7" s="39" t="str">
        <x:v>09/11: Đăng ký đề tài KLTN window bắt đầu</x:v>
      </x:c>
      <x:c r="K7" s="39" t="str">
        <x:v>Tuỳ chọn</x:v>
      </x:c>
      <x:c r="L7" s="41" t="n">
        <x:v>46331</x:v>
      </x:c>
      <x:c r="M7" s="41" t="n">
        <x:v>46333</x:v>
      </x:c>
      <x:c r="N7" s="41" t="n">
        <x:v>46335</x:v>
      </x:c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W06</x:v>
      </x:c>
      <x:c r="B8" s="41" t="n">
        <x:v>46336</x:v>
      </x:c>
      <x:c r="C8" s="41" t="n">
        <x:v>46342</x:v>
      </x:c>
      <x:c r="D8" s="39" t="str">
        <x:v>P2 · Core Expansion</x:v>
      </x:c>
      <x:c r="E8" s="39" t="str">
        <x:v>H-WP17</x:v>
      </x:c>
      <x:c r="F8" s="39" t="str">
        <x:v>K-WP10</x:v>
      </x:c>
      <x:c r="G8" s="39" t="str">
        <x:v>I-WP13</x:v>
      </x:c>
      <x:c r="H8" s="39" t="str">
        <x:v>T-WP04</x:v>
      </x:c>
      <x:c r="I8" s="39" t="str">
        <x:v>Contract test + integration smoke + cập nhật tracker</x:v>
      </x:c>
      <x:c r="J8" s="39" t="str">
        <x:v>—</x:v>
      </x:c>
      <x:c r="K8" s="39" t="str">
        <x:v>Có</x:v>
      </x:c>
      <x:c r="L8" s="41" t="n">
        <x:v>46338</x:v>
      </x:c>
      <x:c r="M8" s="41" t="n">
        <x:v>46340</x:v>
      </x:c>
      <x:c r="N8" s="41" t="n">
        <x:v>46342</x:v>
      </x:c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W07</x:v>
      </x:c>
      <x:c r="B9" s="41" t="n">
        <x:v>46343</x:v>
      </x:c>
      <x:c r="C9" s="41" t="n">
        <x:v>46349</x:v>
      </x:c>
      <x:c r="D9" s="39" t="str">
        <x:v>P2 · Core Expansion</x:v>
      </x:c>
      <x:c r="E9" s="39" t="str">
        <x:v>H-WP10</x:v>
      </x:c>
      <x:c r="F9" s="39" t="str">
        <x:v>K-WP11</x:v>
      </x:c>
      <x:c r="G9" s="39" t="str">
        <x:v>I-WP14</x:v>
      </x:c>
      <x:c r="H9" s="39" t="str">
        <x:v>T-WP08</x:v>
      </x:c>
      <x:c r="I9" s="39" t="str">
        <x:v>Contract test + integration smoke + cập nhật tracker</x:v>
      </x:c>
      <x:c r="J9" s="39" t="str">
        <x:v>20/11: v0.2.0 — Core Expansion 1</x:v>
      </x:c>
      <x:c r="K9" s="39" t="str">
        <x:v>Tuỳ chọn</x:v>
      </x:c>
      <x:c r="L9" s="41" t="n">
        <x:v>46345</x:v>
      </x:c>
      <x:c r="M9" s="41" t="n">
        <x:v>46347</x:v>
      </x:c>
      <x:c r="N9" s="41" t="n">
        <x:v>46349</x:v>
      </x:c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W08</x:v>
      </x:c>
      <x:c r="B10" s="41" t="n">
        <x:v>46350</x:v>
      </x:c>
      <x:c r="C10" s="41" t="n">
        <x:v>46356</x:v>
      </x:c>
      <x:c r="D10" s="39" t="str">
        <x:v>P2 · Core Expansion</x:v>
      </x:c>
      <x:c r="E10" s="39" t="str">
        <x:v>H-WP02</x:v>
      </x:c>
      <x:c r="F10" s="39" t="str">
        <x:v>K-WP12</x:v>
      </x:c>
      <x:c r="G10" s="39" t="str">
        <x:v>I-WP01</x:v>
      </x:c>
      <x:c r="H10" s="39" t="str">
        <x:v>T-WP15</x:v>
      </x:c>
      <x:c r="I10" s="39" t="str">
        <x:v>Contract test + integration smoke + cập nhật tracker</x:v>
      </x:c>
      <x:c r="J10" s="39" t="str">
        <x:v>—</x:v>
      </x:c>
      <x:c r="K10" s="39" t="str">
        <x:v>Có</x:v>
      </x:c>
      <x:c r="L10" s="41" t="n">
        <x:v>46352</x:v>
      </x:c>
      <x:c r="M10" s="41" t="n">
        <x:v>46354</x:v>
      </x:c>
      <x:c r="N10" s="41" t="n">
        <x:v>46356</x:v>
      </x:c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W09</x:v>
      </x:c>
      <x:c r="B11" s="41" t="n">
        <x:v>46357</x:v>
      </x:c>
      <x:c r="C11" s="41" t="n">
        <x:v>46363</x:v>
      </x:c>
      <x:c r="D11" s="39" t="str">
        <x:v>P2 · Core Expansion</x:v>
      </x:c>
      <x:c r="E11" s="39" t="str">
        <x:v>H-WP04</x:v>
      </x:c>
      <x:c r="F11" s="39" t="str">
        <x:v>K-WP13</x:v>
      </x:c>
      <x:c r="G11" s="39" t="str">
        <x:v>I-WP02</x:v>
      </x:c>
      <x:c r="H11" s="39" t="str">
        <x:v>T-WP16</x:v>
      </x:c>
      <x:c r="I11" s="39" t="str">
        <x:v>Contract test + integration smoke + cập nhật tracker</x:v>
      </x:c>
      <x:c r="J11" s="39" t="str">
        <x:v>—</x:v>
      </x:c>
      <x:c r="K11" s="39" t="str">
        <x:v>Tuỳ chọn</x:v>
      </x:c>
      <x:c r="L11" s="41" t="n">
        <x:v>46359</x:v>
      </x:c>
      <x:c r="M11" s="41" t="n">
        <x:v>46361</x:v>
      </x:c>
      <x:c r="N11" s="41" t="n">
        <x:v>46363</x:v>
      </x:c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 t="str">
        <x:v>W10</x:v>
      </x:c>
      <x:c r="B12" s="41" t="n">
        <x:v>46364</x:v>
      </x:c>
      <x:c r="C12" s="41" t="n">
        <x:v>46370</x:v>
      </x:c>
      <x:c r="D12" s="39" t="str">
        <x:v>P2 · Core Expansion</x:v>
      </x:c>
      <x:c r="E12" s="39" t="str">
        <x:v>H-WP11</x:v>
      </x:c>
      <x:c r="F12" s="39" t="str">
        <x:v>K-WP15</x:v>
      </x:c>
      <x:c r="G12" s="39" t="str">
        <x:v>I-WP03</x:v>
      </x:c>
      <x:c r="H12" s="39" t="str">
        <x:v>T-WP18</x:v>
      </x:c>
      <x:c r="I12" s="39" t="str">
        <x:v>Contract test + integration smoke + cập nhật tracker</x:v>
      </x:c>
      <x:c r="J12" s="39" t="str">
        <x:v>11/12: v0.3.0 — Core Expansion 2</x:v>
      </x:c>
      <x:c r="K12" s="39" t="str">
        <x:v>Có</x:v>
      </x:c>
      <x:c r="L12" s="41" t="n">
        <x:v>46366</x:v>
      </x:c>
      <x:c r="M12" s="41" t="n">
        <x:v>46368</x:v>
      </x:c>
      <x:c r="N12" s="41" t="n">
        <x:v>46370</x:v>
      </x:c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9" t="str">
        <x:v>W11</x:v>
      </x:c>
      <x:c r="B13" s="41" t="n">
        <x:v>46371</x:v>
      </x:c>
      <x:c r="C13" s="41" t="n">
        <x:v>46377</x:v>
      </x:c>
      <x:c r="D13" s="39" t="str">
        <x:v>P3 · Beta Preparation</x:v>
      </x:c>
      <x:c r="E13" s="39" t="str">
        <x:v>H-WP09</x:v>
      </x:c>
      <x:c r="F13" s="39" t="str">
        <x:v>K-WP03</x:v>
      </x:c>
      <x:c r="G13" s="39" t="str">
        <x:v>I-WP07</x:v>
      </x:c>
      <x:c r="H13" s="39" t="str">
        <x:v>T-WP11</x:v>
      </x:c>
      <x:c r="I13" s="39" t="str">
        <x:v>Contract test + integration smoke + cập nhật tracker</x:v>
      </x:c>
      <x:c r="J13" s="39" t="str">
        <x:v>—</x:v>
      </x:c>
      <x:c r="K13" s="39" t="str">
        <x:v>Tuỳ chọn</x:v>
      </x:c>
      <x:c r="L13" s="41" t="n">
        <x:v>46373</x:v>
      </x:c>
      <x:c r="M13" s="41" t="n">
        <x:v>46375</x:v>
      </x:c>
      <x:c r="N13" s="41" t="n">
        <x:v>46377</x:v>
      </x:c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9" t="str">
        <x:v>W12</x:v>
      </x:c>
      <x:c r="B14" s="41" t="n">
        <x:v>46378</x:v>
      </x:c>
      <x:c r="C14" s="41" t="n">
        <x:v>46384</x:v>
      </x:c>
      <x:c r="D14" s="39" t="str">
        <x:v>P3 · Beta Preparation</x:v>
      </x:c>
      <x:c r="E14" s="39" t="str">
        <x:v>Buffer / integration / spillover</x:v>
      </x:c>
      <x:c r="F14" s="39" t="str">
        <x:v>Buffer / integration / spillover</x:v>
      </x:c>
      <x:c r="G14" s="39" t="str">
        <x:v>Buffer / integration / spillover</x:v>
      </x:c>
      <x:c r="H14" s="39" t="str">
        <x:v>Buffer / integration / spillover</x:v>
      </x:c>
      <x:c r="I14" s="39" t="str">
        <x:v>Contract test + integration smoke + cập nhật tracker</x:v>
      </x:c>
      <x:c r="J14" s="39" t="str">
        <x:v>—</x:v>
      </x:c>
      <x:c r="K14" s="39" t="str">
        <x:v>Có</x:v>
      </x:c>
      <x:c r="L14" s="41" t="n">
        <x:v>46380</x:v>
      </x:c>
      <x:c r="M14" s="41" t="n">
        <x:v>46382</x:v>
      </x:c>
      <x:c r="N14" s="41" t="n">
        <x:v>46384</x:v>
      </x:c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9" t="str">
        <x:v>W13</x:v>
      </x:c>
      <x:c r="B15" s="41" t="n">
        <x:v>46385</x:v>
      </x:c>
      <x:c r="C15" s="41" t="n">
        <x:v>46391</x:v>
      </x:c>
      <x:c r="D15" s="39" t="str">
        <x:v>P3 · Beta Preparation</x:v>
      </x:c>
      <x:c r="E15" s="39" t="str">
        <x:v>Buffer / integration / spillover</x:v>
      </x:c>
      <x:c r="F15" s="39" t="str">
        <x:v>Buffer / integration / spillover</x:v>
      </x:c>
      <x:c r="G15" s="39" t="str">
        <x:v>Buffer / integration / spillover</x:v>
      </x:c>
      <x:c r="H15" s="39" t="str">
        <x:v>Buffer / integration / spillover</x:v>
      </x:c>
      <x:c r="I15" s="39" t="str">
        <x:v>Contract test + integration smoke + cập nhật tracker</x:v>
      </x:c>
      <x:c r="J15" s="39" t="str">
        <x:v>—</x:v>
      </x:c>
      <x:c r="K15" s="39" t="str">
        <x:v>Tuỳ chọn</x:v>
      </x:c>
      <x:c r="L15" s="41" t="n">
        <x:v>46387</x:v>
      </x:c>
      <x:c r="M15" s="41" t="n">
        <x:v>46389</x:v>
      </x:c>
      <x:c r="N15" s="41" t="n">
        <x:v>46391</x:v>
      </x:c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9" t="str">
        <x:v>W14</x:v>
      </x:c>
      <x:c r="B16" s="41" t="n">
        <x:v>46392</x:v>
      </x:c>
      <x:c r="C16" s="41" t="n">
        <x:v>46398</x:v>
      </x:c>
      <x:c r="D16" s="39" t="str">
        <x:v>P3 · Beta Preparation</x:v>
      </x:c>
      <x:c r="E16" s="39" t="str">
        <x:v>H-WP14</x:v>
      </x:c>
      <x:c r="F16" s="39" t="str">
        <x:v>K-WP06</x:v>
      </x:c>
      <x:c r="G16" s="39" t="str">
        <x:v>I-WP09</x:v>
      </x:c>
      <x:c r="H16" s="39" t="str">
        <x:v>T-WP14</x:v>
      </x:c>
      <x:c r="I16" s="39" t="str">
        <x:v>Contract test + integration smoke + cập nhật tracker</x:v>
      </x:c>
      <x:c r="J16" s="39" t="str">
        <x:v>08/01: v0.4.0 — Beta Candidate</x:v>
      </x:c>
      <x:c r="K16" s="39" t="str">
        <x:v>Có</x:v>
      </x:c>
      <x:c r="L16" s="41" t="n">
        <x:v>46394</x:v>
      </x:c>
      <x:c r="M16" s="41" t="n">
        <x:v>46396</x:v>
      </x:c>
      <x:c r="N16" s="41" t="n">
        <x:v>46398</x:v>
      </x:c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9" t="str">
        <x:v>W15</x:v>
      </x:c>
      <x:c r="B17" s="41" t="n">
        <x:v>46399</x:v>
      </x:c>
      <x:c r="C17" s="41" t="n">
        <x:v>46405</x:v>
      </x:c>
      <x:c r="D17" s="39" t="str">
        <x:v>P3 · Beta Preparation</x:v>
      </x:c>
      <x:c r="E17" s="39" t="str">
        <x:v>H-WP08</x:v>
      </x:c>
      <x:c r="F17" s="39" t="str">
        <x:v>K-WP07</x:v>
      </x:c>
      <x:c r="G17" s="39" t="str">
        <x:v>I-WP08</x:v>
      </x:c>
      <x:c r="H17" s="39" t="str">
        <x:v>T-WP13</x:v>
      </x:c>
      <x:c r="I17" s="39" t="str">
        <x:v>Contract test + integration smoke + cập nhật tracker</x:v>
      </x:c>
      <x:c r="J17" s="39" t="str">
        <x:v>—</x:v>
      </x:c>
      <x:c r="K17" s="39" t="str">
        <x:v>Tuỳ chọn</x:v>
      </x:c>
      <x:c r="L17" s="41" t="n">
        <x:v>46401</x:v>
      </x:c>
      <x:c r="M17" s="41" t="n">
        <x:v>46403</x:v>
      </x:c>
      <x:c r="N17" s="41" t="n">
        <x:v>46405</x:v>
      </x:c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9" t="str">
        <x:v>W16</x:v>
      </x:c>
      <x:c r="B18" s="41" t="n">
        <x:v>46406</x:v>
      </x:c>
      <x:c r="C18" s="41" t="n">
        <x:v>46412</x:v>
      </x:c>
      <x:c r="D18" s="39" t="str">
        <x:v>P4 · Beta Feedback &amp; Data</x:v>
      </x:c>
      <x:c r="E18" s="39" t="str">
        <x:v>Buffer / integration / spillover</x:v>
      </x:c>
      <x:c r="F18" s="39" t="str">
        <x:v>Buffer / integration / spillover</x:v>
      </x:c>
      <x:c r="G18" s="39" t="str">
        <x:v>Buffer / integration / spillover</x:v>
      </x:c>
      <x:c r="H18" s="39" t="str">
        <x:v>Buffer / integration / spillover</x:v>
      </x:c>
      <x:c r="I18" s="39" t="str">
        <x:v>Feedback triage + data quality check + cập nhật issue backlog</x:v>
      </x:c>
      <x:c r="J18" s="39" t="str">
        <x:v>22/01: v0.5.0-beta.1 — Public Beta</x:v>
      </x:c>
      <x:c r="K18" s="39" t="str">
        <x:v>Có</x:v>
      </x:c>
      <x:c r="L18" s="41" t="n">
        <x:v>46408</x:v>
      </x:c>
      <x:c r="M18" s="41" t="n">
        <x:v>46410</x:v>
      </x:c>
      <x:c r="N18" s="41" t="n">
        <x:v>46412</x:v>
      </x:c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9" t="str">
        <x:v>W17</x:v>
      </x:c>
      <x:c r="B19" s="41" t="n">
        <x:v>46413</x:v>
      </x:c>
      <x:c r="C19" s="41" t="n">
        <x:v>46419</x:v>
      </x:c>
      <x:c r="D19" s="39" t="str">
        <x:v>P4 · Beta Feedback &amp; Data</x:v>
      </x:c>
      <x:c r="E19" s="39" t="str">
        <x:v>Buffer / integration / spillover</x:v>
      </x:c>
      <x:c r="F19" s="39" t="str">
        <x:v>Buffer / integration / spillover</x:v>
      </x:c>
      <x:c r="G19" s="39" t="str">
        <x:v>Buffer / integration / spillover</x:v>
      </x:c>
      <x:c r="H19" s="39" t="str">
        <x:v>Buffer / integration / spillover</x:v>
      </x:c>
      <x:c r="I19" s="39" t="str">
        <x:v>Feedback triage + data quality check + cập nhật issue backlog</x:v>
      </x:c>
      <x:c r="J19" s="39" t="str">
        <x:v>—</x:v>
      </x:c>
      <x:c r="K19" s="39" t="str">
        <x:v>Tuỳ chọn</x:v>
      </x:c>
      <x:c r="L19" s="41" t="n">
        <x:v>46415</x:v>
      </x:c>
      <x:c r="M19" s="41" t="n">
        <x:v>46417</x:v>
      </x:c>
      <x:c r="N19" s="41" t="n">
        <x:v>46419</x:v>
      </x:c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9" t="str">
        <x:v>W18</x:v>
      </x:c>
      <x:c r="B20" s="41" t="n">
        <x:v>46420</x:v>
      </x:c>
      <x:c r="C20" s="41" t="n">
        <x:v>46426</x:v>
      </x:c>
      <x:c r="D20" s="39" t="str">
        <x:v>P4 · Beta Feedback &amp; Data</x:v>
      </x:c>
      <x:c r="E20" s="39" t="str">
        <x:v>Buffer / integration / spillover</x:v>
      </x:c>
      <x:c r="F20" s="39" t="str">
        <x:v>Buffer / integration / spillover</x:v>
      </x:c>
      <x:c r="G20" s="39" t="str">
        <x:v>Buffer / integration / spillover</x:v>
      </x:c>
      <x:c r="H20" s="39" t="str">
        <x:v>Buffer / integration / spillover</x:v>
      </x:c>
      <x:c r="I20" s="39" t="str">
        <x:v>Feedback triage + data quality check + cập nhật issue backlog</x:v>
      </x:c>
      <x:c r="J20" s="39" t="str">
        <x:v>—</x:v>
      </x:c>
      <x:c r="K20" s="39" t="str">
        <x:v>Có</x:v>
      </x:c>
      <x:c r="L20" s="41" t="n">
        <x:v>46422</x:v>
      </x:c>
      <x:c r="M20" s="41" t="n">
        <x:v>46424</x:v>
      </x:c>
      <x:c r="N20" s="41" t="n">
        <x:v>46426</x:v>
      </x:c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9" t="str">
        <x:v>W19</x:v>
      </x:c>
      <x:c r="B21" s="41" t="n">
        <x:v>46427</x:v>
      </x:c>
      <x:c r="C21" s="41" t="n">
        <x:v>46433</x:v>
      </x:c>
      <x:c r="D21" s="39" t="str">
        <x:v>P4 · Beta Feedback &amp; Data</x:v>
      </x:c>
      <x:c r="E21" s="39" t="str">
        <x:v>Buffer / integration / spillover</x:v>
      </x:c>
      <x:c r="F21" s="39" t="str">
        <x:v>Buffer / integration / spillover</x:v>
      </x:c>
      <x:c r="G21" s="39" t="str">
        <x:v>Buffer / integration / spillover</x:v>
      </x:c>
      <x:c r="H21" s="39" t="str">
        <x:v>Buffer / integration / spillover</x:v>
      </x:c>
      <x:c r="I21" s="39" t="str">
        <x:v>Feedback triage + data quality check + cập nhật issue backlog</x:v>
      </x:c>
      <x:c r="J21" s="39" t="str">
        <x:v>—</x:v>
      </x:c>
      <x:c r="K21" s="39" t="str">
        <x:v>Tuỳ chọn</x:v>
      </x:c>
      <x:c r="L21" s="41" t="n">
        <x:v>46429</x:v>
      </x:c>
      <x:c r="M21" s="41" t="n">
        <x:v>46431</x:v>
      </x:c>
      <x:c r="N21" s="41" t="n">
        <x:v>46433</x:v>
      </x:c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9" t="str">
        <x:v>W20</x:v>
      </x:c>
      <x:c r="B22" s="41" t="n">
        <x:v>46434</x:v>
      </x:c>
      <x:c r="C22" s="41" t="n">
        <x:v>46440</x:v>
      </x:c>
      <x:c r="D22" s="39" t="str">
        <x:v>P4 · Beta Feedback &amp; Data</x:v>
      </x:c>
      <x:c r="E22" s="39" t="str">
        <x:v>H-WP16</x:v>
      </x:c>
      <x:c r="F22" s="39" t="str">
        <x:v>K-WP14</x:v>
      </x:c>
      <x:c r="G22" s="39" t="str">
        <x:v>I-WP10</x:v>
      </x:c>
      <x:c r="H22" s="39" t="str">
        <x:v>T-WP05</x:v>
      </x:c>
      <x:c r="I22" s="39" t="str">
        <x:v>Feedback triage + data quality check + cập nhật issue backlog</x:v>
      </x:c>
      <x:c r="J22" s="39" t="str">
        <x:v>19/02: v0.5.0-beta.2 — Feedback Release 1 | 22/02: Nộp đề cương KLTN window bắt đầu</x:v>
      </x:c>
      <x:c r="K22" s="39" t="str">
        <x:v>Có</x:v>
      </x:c>
      <x:c r="L22" s="41" t="n">
        <x:v>46436</x:v>
      </x:c>
      <x:c r="M22" s="41" t="n">
        <x:v>46438</x:v>
      </x:c>
      <x:c r="N22" s="41" t="n">
        <x:v>46440</x:v>
      </x:c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9" t="str">
        <x:v>W21</x:v>
      </x:c>
      <x:c r="B23" s="41" t="n">
        <x:v>46441</x:v>
      </x:c>
      <x:c r="C23" s="41" t="n">
        <x:v>46447</x:v>
      </x:c>
      <x:c r="D23" s="39" t="str">
        <x:v>P4 · Beta Feedback &amp; Data</x:v>
      </x:c>
      <x:c r="E23" s="39" t="str">
        <x:v>H-WP15</x:v>
      </x:c>
      <x:c r="F23" s="39" t="str">
        <x:v>Buffer / integration / spillover</x:v>
      </x:c>
      <x:c r="G23" s="39" t="str">
        <x:v>I-WP16</x:v>
      </x:c>
      <x:c r="H23" s="39" t="str">
        <x:v>T-WP06</x:v>
      </x:c>
      <x:c r="I23" s="39" t="str">
        <x:v>Feedback triage + data quality check + cập nhật issue backlog</x:v>
      </x:c>
      <x:c r="J23" s="39" t="str">
        <x:v>—</x:v>
      </x:c>
      <x:c r="K23" s="39" t="str">
        <x:v>Tuỳ chọn</x:v>
      </x:c>
      <x:c r="L23" s="41" t="n">
        <x:v>46443</x:v>
      </x:c>
      <x:c r="M23" s="41" t="n">
        <x:v>46445</x:v>
      </x:c>
      <x:c r="N23" s="41" t="n">
        <x:v>46447</x:v>
      </x:c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9" t="str">
        <x:v>W22</x:v>
      </x:c>
      <x:c r="B24" s="41" t="n">
        <x:v>46448</x:v>
      </x:c>
      <x:c r="C24" s="41" t="n">
        <x:v>46454</x:v>
      </x:c>
      <x:c r="D24" s="39" t="str">
        <x:v>P4 · Beta Feedback &amp; Data</x:v>
      </x:c>
      <x:c r="E24" s="39" t="str">
        <x:v>H-WP06</x:v>
      </x:c>
      <x:c r="F24" s="39" t="str">
        <x:v>Buffer / integration / spillover</x:v>
      </x:c>
      <x:c r="G24" s="39" t="str">
        <x:v>I-WP17</x:v>
      </x:c>
      <x:c r="H24" s="39" t="str">
        <x:v>T-WP17</x:v>
      </x:c>
      <x:c r="I24" s="39" t="str">
        <x:v>Feedback triage + data quality check + cập nhật issue backlog</x:v>
      </x:c>
      <x:c r="J24" s="39" t="str">
        <x:v>05/03: v0.5.0-beta.3 — Feedback Release 2</x:v>
      </x:c>
      <x:c r="K24" s="39" t="str">
        <x:v>Có</x:v>
      </x:c>
      <x:c r="L24" s="41" t="n">
        <x:v>46450</x:v>
      </x:c>
      <x:c r="M24" s="41" t="n">
        <x:v>46452</x:v>
      </x:c>
      <x:c r="N24" s="41" t="n">
        <x:v>46454</x:v>
      </x:c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9" t="str">
        <x:v>W23</x:v>
      </x:c>
      <x:c r="B25" s="41" t="n">
        <x:v>46455</x:v>
      </x:c>
      <x:c r="C25" s="41" t="n">
        <x:v>46461</x:v>
      </x:c>
      <x:c r="D25" s="39" t="str">
        <x:v>P4 · Beta Feedback &amp; Data</x:v>
      </x:c>
      <x:c r="E25" s="39" t="str">
        <x:v>Buffer / integration / spillover</x:v>
      </x:c>
      <x:c r="F25" s="39" t="str">
        <x:v>Buffer / integration / spillover</x:v>
      </x:c>
      <x:c r="G25" s="39" t="str">
        <x:v>Buffer / integration / spillover</x:v>
      </x:c>
      <x:c r="H25" s="39" t="str">
        <x:v>T-WP09</x:v>
      </x:c>
      <x:c r="I25" s="39" t="str">
        <x:v>Feedback triage + data quality check + cập nhật issue backlog</x:v>
      </x:c>
      <x:c r="J25" s="39" t="str">
        <x:v>—</x:v>
      </x:c>
      <x:c r="K25" s="39" t="str">
        <x:v>Tuỳ chọn</x:v>
      </x:c>
      <x:c r="L25" s="41" t="n">
        <x:v>46457</x:v>
      </x:c>
      <x:c r="M25" s="41" t="n">
        <x:v>46459</x:v>
      </x:c>
      <x:c r="N25" s="41" t="n">
        <x:v>46461</x:v>
      </x:c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9" t="str">
        <x:v>W24</x:v>
      </x:c>
      <x:c r="B26" s="41" t="n">
        <x:v>46462</x:v>
      </x:c>
      <x:c r="C26" s="41" t="n">
        <x:v>46468</x:v>
      </x:c>
      <x:c r="D26" s="39" t="str">
        <x:v>P4 · Beta Feedback &amp; Data</x:v>
      </x:c>
      <x:c r="E26" s="39" t="str">
        <x:v>Buffer / integration / spillover</x:v>
      </x:c>
      <x:c r="F26" s="39" t="str">
        <x:v>Buffer / integration / spillover</x:v>
      </x:c>
      <x:c r="G26" s="39" t="str">
        <x:v>Buffer / integration / spillover</x:v>
      </x:c>
      <x:c r="H26" s="39" t="str">
        <x:v>Buffer / integration / spillover</x:v>
      </x:c>
      <x:c r="I26" s="39" t="str">
        <x:v>Feedback triage + data quality check + cập nhật issue backlog</x:v>
      </x:c>
      <x:c r="J26" s="39" t="str">
        <x:v>19/03: v0.5.0-beta.4 — Feedback Release 3</x:v>
      </x:c>
      <x:c r="K26" s="39" t="str">
        <x:v>Có</x:v>
      </x:c>
      <x:c r="L26" s="41" t="n">
        <x:v>46464</x:v>
      </x:c>
      <x:c r="M26" s="41" t="n">
        <x:v>46466</x:v>
      </x:c>
      <x:c r="N26" s="41" t="n">
        <x:v>46468</x:v>
      </x:c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9" t="str">
        <x:v>W25</x:v>
      </x:c>
      <x:c r="B27" s="41" t="n">
        <x:v>46469</x:v>
      </x:c>
      <x:c r="C27" s="41" t="n">
        <x:v>46475</x:v>
      </x:c>
      <x:c r="D27" s="39" t="str">
        <x:v>P4 · Beta Feedback &amp; Data</x:v>
      </x:c>
      <x:c r="E27" s="39" t="str">
        <x:v>Buffer / integration / spillover</x:v>
      </x:c>
      <x:c r="F27" s="39" t="str">
        <x:v>Buffer / integration / spillover</x:v>
      </x:c>
      <x:c r="G27" s="39" t="str">
        <x:v>Buffer / integration / spillover</x:v>
      </x:c>
      <x:c r="H27" s="39" t="str">
        <x:v>Buffer / integration / spillover</x:v>
      </x:c>
      <x:c r="I27" s="39" t="str">
        <x:v>Feedback triage + data quality check + cập nhật issue backlog</x:v>
      </x:c>
      <x:c r="J27" s="39" t="str">
        <x:v>—</x:v>
      </x:c>
      <x:c r="K27" s="39" t="str">
        <x:v>Tuỳ chọn</x:v>
      </x:c>
      <x:c r="L27" s="41" t="n">
        <x:v>46471</x:v>
      </x:c>
      <x:c r="M27" s="41" t="n">
        <x:v>46473</x:v>
      </x:c>
      <x:c r="N27" s="41" t="n">
        <x:v>46475</x:v>
      </x:c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9" t="str">
        <x:v>W26</x:v>
      </x:c>
      <x:c r="B28" s="41" t="n">
        <x:v>46476</x:v>
      </x:c>
      <x:c r="C28" s="41" t="n">
        <x:v>46482</x:v>
      </x:c>
      <x:c r="D28" s="39" t="str">
        <x:v>P5 · Research, Quality &amp; Completion</x:v>
      </x:c>
      <x:c r="E28" s="39" t="str">
        <x:v>Buffer / integration / spillover</x:v>
      </x:c>
      <x:c r="F28" s="39" t="str">
        <x:v>Buffer / integration / spillover</x:v>
      </x:c>
      <x:c r="G28" s="39" t="str">
        <x:v>Buffer / integration / spillover</x:v>
      </x:c>
      <x:c r="H28" s="39" t="str">
        <x:v>Buffer / integration / spillover</x:v>
      </x:c>
      <x:c r="I28" s="39" t="str">
        <x:v>Regression/metrics + viết báo cáo song song + evidence capture</x:v>
      </x:c>
      <x:c r="J28" s="39" t="str">
        <x:v>31/03: DATA-FREEZE — Data &amp; Feedback Freeze</x:v>
      </x:c>
      <x:c r="K28" s="39" t="str">
        <x:v>Có</x:v>
      </x:c>
      <x:c r="L28" s="41" t="n">
        <x:v>46478</x:v>
      </x:c>
      <x:c r="M28" s="41" t="n">
        <x:v>46480</x:v>
      </x:c>
      <x:c r="N28" s="41" t="n">
        <x:v>46482</x:v>
      </x:c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9" t="str">
        <x:v>W27</x:v>
      </x:c>
      <x:c r="B29" s="41" t="n">
        <x:v>46483</x:v>
      </x:c>
      <x:c r="C29" s="41" t="n">
        <x:v>46489</x:v>
      </x:c>
      <x:c r="D29" s="39" t="str">
        <x:v>P5 · Research, Quality &amp; Completion</x:v>
      </x:c>
      <x:c r="E29" s="39" t="str">
        <x:v>Buffer / integration / spillover</x:v>
      </x:c>
      <x:c r="F29" s="39" t="str">
        <x:v>Buffer / integration / spillover</x:v>
      </x:c>
      <x:c r="G29" s="39" t="str">
        <x:v>Buffer / integration / spillover</x:v>
      </x:c>
      <x:c r="H29" s="39" t="str">
        <x:v>Buffer / integration / spillover</x:v>
      </x:c>
      <x:c r="I29" s="39" t="str">
        <x:v>Regression/metrics + viết báo cáo song song + evidence capture</x:v>
      </x:c>
      <x:c r="J29" s="39" t="str">
        <x:v>—</x:v>
      </x:c>
      <x:c r="K29" s="39" t="str">
        <x:v>Tuỳ chọn</x:v>
      </x:c>
      <x:c r="L29" s="41" t="n">
        <x:v>46485</x:v>
      </x:c>
      <x:c r="M29" s="41" t="n">
        <x:v>46487</x:v>
      </x:c>
      <x:c r="N29" s="41" t="n">
        <x:v>46489</x:v>
      </x:c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9" t="str">
        <x:v>W28</x:v>
      </x:c>
      <x:c r="B30" s="41" t="n">
        <x:v>46490</x:v>
      </x:c>
      <x:c r="C30" s="41" t="n">
        <x:v>46496</x:v>
      </x:c>
      <x:c r="D30" s="39" t="str">
        <x:v>P5 · Research, Quality &amp; Completion</x:v>
      </x:c>
      <x:c r="E30" s="39" t="str">
        <x:v>H-FWP01</x:v>
      </x:c>
      <x:c r="F30" s="39" t="str">
        <x:v>K-FWP01</x:v>
      </x:c>
      <x:c r="G30" s="39" t="str">
        <x:v>Buffer / integration / spillover</x:v>
      </x:c>
      <x:c r="H30" s="39" t="str">
        <x:v>Buffer / integration / spillover</x:v>
      </x:c>
      <x:c r="I30" s="39" t="str">
        <x:v>Regression/metrics + viết báo cáo song song + evidence capture</x:v>
      </x:c>
      <x:c r="J30" s="39" t="str">
        <x:v>16/04: v0.6.0 — Research/Quality | 19/04: Báo cáo tiến độ / kỳ thi HK2</x:v>
      </x:c>
      <x:c r="K30" s="39" t="str">
        <x:v>Có</x:v>
      </x:c>
      <x:c r="L30" s="41" t="n">
        <x:v>46492</x:v>
      </x:c>
      <x:c r="M30" s="41" t="n">
        <x:v>46494</x:v>
      </x:c>
      <x:c r="N30" s="41" t="n">
        <x:v>46496</x:v>
      </x:c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9" t="str">
        <x:v>W29</x:v>
      </x:c>
      <x:c r="B31" s="41" t="n">
        <x:v>46497</x:v>
      </x:c>
      <x:c r="C31" s="41" t="n">
        <x:v>46503</x:v>
      </x:c>
      <x:c r="D31" s="39" t="str">
        <x:v>P5 · Research, Quality &amp; Completion</x:v>
      </x:c>
      <x:c r="E31" s="39" t="str">
        <x:v>Buffer / integration / spillover</x:v>
      </x:c>
      <x:c r="F31" s="39" t="str">
        <x:v>Buffer / integration / spillover</x:v>
      </x:c>
      <x:c r="G31" s="39" t="str">
        <x:v>I-FWP01</x:v>
      </x:c>
      <x:c r="H31" s="39" t="str">
        <x:v>T-FWP01</x:v>
      </x:c>
      <x:c r="I31" s="39" t="str">
        <x:v>Regression/metrics + viết báo cáo song song + evidence capture</x:v>
      </x:c>
      <x:c r="J31" s="39" t="str">
        <x:v>—</x:v>
      </x:c>
      <x:c r="K31" s="39" t="str">
        <x:v>Tuỳ chọn</x:v>
      </x:c>
      <x:c r="L31" s="41" t="n">
        <x:v>46499</x:v>
      </x:c>
      <x:c r="M31" s="41" t="n">
        <x:v>46501</x:v>
      </x:c>
      <x:c r="N31" s="41" t="n">
        <x:v>46503</x:v>
      </x:c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9" t="str">
        <x:v>W30</x:v>
      </x:c>
      <x:c r="B32" s="41" t="n">
        <x:v>46504</x:v>
      </x:c>
      <x:c r="C32" s="41" t="n">
        <x:v>46510</x:v>
      </x:c>
      <x:c r="D32" s="39" t="str">
        <x:v>P5 · Research, Quality &amp; Completion</x:v>
      </x:c>
      <x:c r="E32" s="39" t="str">
        <x:v>Buffer / integration / spillover</x:v>
      </x:c>
      <x:c r="F32" s="39" t="str">
        <x:v>Buffer / integration / spillover</x:v>
      </x:c>
      <x:c r="G32" s="39" t="str">
        <x:v>Buffer / integration / spillover</x:v>
      </x:c>
      <x:c r="H32" s="39" t="str">
        <x:v>Buffer / integration / spillover</x:v>
      </x:c>
      <x:c r="I32" s="39" t="str">
        <x:v>Regression/metrics + viết báo cáo song song + evidence capture</x:v>
      </x:c>
      <x:c r="J32" s="39" t="str">
        <x:v>—</x:v>
      </x:c>
      <x:c r="K32" s="39" t="str">
        <x:v>Có</x:v>
      </x:c>
      <x:c r="L32" s="41" t="n">
        <x:v>46506</x:v>
      </x:c>
      <x:c r="M32" s="41" t="n">
        <x:v>46508</x:v>
      </x:c>
      <x:c r="N32" s="41" t="n">
        <x:v>46510</x:v>
      </x:c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9" t="str">
        <x:v>W31</x:v>
      </x:c>
      <x:c r="B33" s="41" t="n">
        <x:v>46511</x:v>
      </x:c>
      <x:c r="C33" s="41" t="n">
        <x:v>46517</x:v>
      </x:c>
      <x:c r="D33" s="39" t="str">
        <x:v>P5 · Research, Quality &amp; Completion</x:v>
      </x:c>
      <x:c r="E33" s="39" t="str">
        <x:v>Buffer / integration / spillover</x:v>
      </x:c>
      <x:c r="F33" s="39" t="str">
        <x:v>Buffer / integration / spillover</x:v>
      </x:c>
      <x:c r="G33" s="39" t="str">
        <x:v>Buffer / integration / spillover</x:v>
      </x:c>
      <x:c r="H33" s="39" t="str">
        <x:v>Buffer / integration / spillover</x:v>
      </x:c>
      <x:c r="I33" s="39" t="str">
        <x:v>Regression/metrics + viết báo cáo song song + evidence capture</x:v>
      </x:c>
      <x:c r="J33" s="39" t="str">
        <x:v>07/05: v0.7.0 — Feature Complete Candidate</x:v>
      </x:c>
      <x:c r="K33" s="39" t="str">
        <x:v>Tuỳ chọn</x:v>
      </x:c>
      <x:c r="L33" s="41" t="n">
        <x:v>46513</x:v>
      </x:c>
      <x:c r="M33" s="41" t="n">
        <x:v>46515</x:v>
      </x:c>
      <x:c r="N33" s="41" t="n">
        <x:v>46517</x:v>
      </x:c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9" t="str">
        <x:v>W32</x:v>
      </x:c>
      <x:c r="B34" s="41" t="n">
        <x:v>46518</x:v>
      </x:c>
      <x:c r="C34" s="41" t="n">
        <x:v>46524</x:v>
      </x:c>
      <x:c r="D34" s="39" t="str">
        <x:v>P6 · Final Product/Data Freeze</x:v>
      </x:c>
      <x:c r="E34" s="39" t="str">
        <x:v>H-FWP02</x:v>
      </x:c>
      <x:c r="F34" s="39" t="str">
        <x:v>K-FWP02</x:v>
      </x:c>
      <x:c r="G34" s="39" t="str">
        <x:v>Buffer / integration / spillover</x:v>
      </x:c>
      <x:c r="H34" s="39" t="str">
        <x:v>Buffer / integration / spillover</x:v>
      </x:c>
      <x:c r="I34" s="39" t="str">
        <x:v>Regression/metrics + viết báo cáo song song + evidence capture</x:v>
      </x:c>
      <x:c r="J34" s="39" t="str">
        <x:v>—</x:v>
      </x:c>
      <x:c r="K34" s="39" t="str">
        <x:v>Có</x:v>
      </x:c>
      <x:c r="L34" s="41" t="n">
        <x:v>46520</x:v>
      </x:c>
      <x:c r="M34" s="41" t="n">
        <x:v>46522</x:v>
      </x:c>
      <x:c r="N34" s="41" t="n">
        <x:v>46524</x:v>
      </x:c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9" t="str">
        <x:v>W33</x:v>
      </x:c>
      <x:c r="B35" s="41" t="n">
        <x:v>46525</x:v>
      </x:c>
      <x:c r="C35" s="41" t="n">
        <x:v>46531</x:v>
      </x:c>
      <x:c r="D35" s="39" t="str">
        <x:v>P6 · Final Product/Data Freeze</x:v>
      </x:c>
      <x:c r="E35" s="39" t="str">
        <x:v>Buffer / integration / spillover</x:v>
      </x:c>
      <x:c r="F35" s="39" t="str">
        <x:v>Buffer / integration / spillover</x:v>
      </x:c>
      <x:c r="G35" s="39" t="str">
        <x:v>I-FWP02</x:v>
      </x:c>
      <x:c r="H35" s="39" t="str">
        <x:v>T-FWP02</x:v>
      </x:c>
      <x:c r="I35" s="39" t="str">
        <x:v>Regression/metrics + viết báo cáo song song + evidence capture</x:v>
      </x:c>
      <x:c r="J35" s="39" t="str">
        <x:v>—</x:v>
      </x:c>
      <x:c r="K35" s="39" t="str">
        <x:v>Có</x:v>
      </x:c>
      <x:c r="L35" s="41" t="n">
        <x:v>46527</x:v>
      </x:c>
      <x:c r="M35" s="41" t="n">
        <x:v>46529</x:v>
      </x:c>
      <x:c r="N35" s="41" t="n">
        <x:v>46531</x:v>
      </x:c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9" t="str">
        <x:v>W34</x:v>
      </x:c>
      <x:c r="B36" s="41" t="n">
        <x:v>46532</x:v>
      </x:c>
      <x:c r="C36" s="41" t="n">
        <x:v>46538</x:v>
      </x:c>
      <x:c r="D36" s="39" t="str">
        <x:v>P6 · Final Product/Data Freeze</x:v>
      </x:c>
      <x:c r="E36" s="39" t="str">
        <x:v>Buffer / integration / spillover</x:v>
      </x:c>
      <x:c r="F36" s="39" t="str">
        <x:v>Buffer / integration / spillover</x:v>
      </x:c>
      <x:c r="G36" s="39" t="str">
        <x:v>Buffer / integration / spillover</x:v>
      </x:c>
      <x:c r="H36" s="39" t="str">
        <x:v>Buffer / integration / spillover</x:v>
      </x:c>
      <x:c r="I36" s="39" t="str">
        <x:v>Regression/metrics + viết báo cáo song song + evidence capture</x:v>
      </x:c>
      <x:c r="J36" s="39" t="str">
        <x:v>28/05: v1.0.0-rc1 — Release Candidate</x:v>
      </x:c>
      <x:c r="K36" s="39" t="str">
        <x:v>Có</x:v>
      </x:c>
      <x:c r="L36" s="41" t="n">
        <x:v>46534</x:v>
      </x:c>
      <x:c r="M36" s="41" t="n">
        <x:v>46536</x:v>
      </x:c>
      <x:c r="N36" s="41" t="n">
        <x:v>46538</x:v>
      </x:c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9" t="str">
        <x:v>W35</x:v>
      </x:c>
      <x:c r="B37" s="41" t="n">
        <x:v>46539</x:v>
      </x:c>
      <x:c r="C37" s="41" t="n">
        <x:v>46545</x:v>
      </x:c>
      <x:c r="D37" s="39" t="str">
        <x:v>P7 · Thesis Finalization &amp; Defense</x:v>
      </x:c>
      <x:c r="E37" s="39" t="str">
        <x:v>Buffer / integration / spillover</x:v>
      </x:c>
      <x:c r="F37" s="39" t="str">
        <x:v>Buffer / integration / spillover</x:v>
      </x:c>
      <x:c r="G37" s="39" t="str">
        <x:v>Buffer / integration / spillover</x:v>
      </x:c>
      <x:c r="H37" s="39" t="str">
        <x:v>Buffer / integration / spillover</x:v>
      </x:c>
      <x:c r="I37" s="39" t="str">
        <x:v>Không thêm feature; chỉ critical hotfix + báo cáo/slide/rehearsal</x:v>
      </x:c>
      <x:c r="J37" s="39" t="str">
        <x:v>04/06: v1.0.0 — Final Product Baseline | 06/06: Internal completion deadline: product + data + experiments complete</x:v>
      </x:c>
      <x:c r="K37" s="39" t="str">
        <x:v>Có</x:v>
      </x:c>
      <x:c r="L37" s="41" t="n">
        <x:v>46541</x:v>
      </x:c>
      <x:c r="M37" s="41" t="n">
        <x:v>46543</x:v>
      </x:c>
      <x:c r="N37" s="41" t="n">
        <x:v>46545</x:v>
      </x:c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9" t="str">
        <x:v>W36</x:v>
      </x:c>
      <x:c r="B38" s="41" t="n">
        <x:v>46546</x:v>
      </x:c>
      <x:c r="C38" s="41" t="n">
        <x:v>46552</x:v>
      </x:c>
      <x:c r="D38" s="39" t="str">
        <x:v>P7 · Thesis Finalization &amp; Defense</x:v>
      </x:c>
      <x:c r="E38" s="39" t="str">
        <x:v>Buffer / integration / spillover</x:v>
      </x:c>
      <x:c r="F38" s="39" t="str">
        <x:v>Buffer / integration / spillover</x:v>
      </x:c>
      <x:c r="G38" s="39" t="str">
        <x:v>Buffer / integration / spillover</x:v>
      </x:c>
      <x:c r="H38" s="39" t="str">
        <x:v>Buffer / integration / spillover</x:v>
      </x:c>
      <x:c r="I38" s="39" t="str">
        <x:v>Không thêm feature; chỉ critical hotfix + báo cáo/slide/rehearsal</x:v>
      </x:c>
      <x:c r="J38" s="39" t="str">
        <x:v>—</x:v>
      </x:c>
      <x:c r="K38" s="39" t="str">
        <x:v>Có</x:v>
      </x:c>
      <x:c r="L38" s="41" t="n">
        <x:v>46548</x:v>
      </x:c>
      <x:c r="M38" s="41" t="n">
        <x:v>46550</x:v>
      </x:c>
      <x:c r="N38" s="41" t="n">
        <x:v>46552</x:v>
      </x:c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9" t="str">
        <x:v>W37</x:v>
      </x:c>
      <x:c r="B39" s="41" t="n">
        <x:v>46553</x:v>
      </x:c>
      <x:c r="C39" s="41" t="n">
        <x:v>46559</x:v>
      </x:c>
      <x:c r="D39" s="39" t="str">
        <x:v>P7 · Thesis Finalization &amp; Defense</x:v>
      </x:c>
      <x:c r="E39" s="39" t="str">
        <x:v>Buffer / integration / spillover</x:v>
      </x:c>
      <x:c r="F39" s="39" t="str">
        <x:v>Buffer / integration / spillover</x:v>
      </x:c>
      <x:c r="G39" s="39" t="str">
        <x:v>Buffer / integration / spillover</x:v>
      </x:c>
      <x:c r="H39" s="39" t="str">
        <x:v>Buffer / integration / spillover</x:v>
      </x:c>
      <x:c r="I39" s="39" t="str">
        <x:v>Không thêm feature; chỉ critical hotfix + báo cáo/slide/rehearsal</x:v>
      </x:c>
      <x:c r="J39" s="39" t="str">
        <x:v>—</x:v>
      </x:c>
      <x:c r="K39" s="39" t="str">
        <x:v>Có</x:v>
      </x:c>
      <x:c r="L39" s="41" t="n">
        <x:v>46555</x:v>
      </x:c>
      <x:c r="M39" s="41" t="n">
        <x:v>46557</x:v>
      </x:c>
      <x:c r="N39" s="41" t="n">
        <x:v>46559</x:v>
      </x:c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9" t="str">
        <x:v>W38</x:v>
      </x:c>
      <x:c r="B40" s="41" t="n">
        <x:v>46560</x:v>
      </x:c>
      <x:c r="C40" s="41" t="n">
        <x:v>46566</x:v>
      </x:c>
      <x:c r="D40" s="39" t="str">
        <x:v>P7 · Thesis Finalization &amp; Defense</x:v>
      </x:c>
      <x:c r="E40" s="39" t="str">
        <x:v>Buffer / integration / spillover</x:v>
      </x:c>
      <x:c r="F40" s="39" t="str">
        <x:v>Buffer / integration / spillover</x:v>
      </x:c>
      <x:c r="G40" s="39" t="str">
        <x:v>Buffer / integration / spillover</x:v>
      </x:c>
      <x:c r="H40" s="39" t="str">
        <x:v>Buffer / integration / spillover</x:v>
      </x:c>
      <x:c r="I40" s="39" t="str">
        <x:v>Không thêm feature; chỉ critical hotfix + báo cáo/slide/rehearsal</x:v>
      </x:c>
      <x:c r="J40" s="39" t="str">
        <x:v>28/06: Nộp đơn bảo vệ + bản cuối window</x:v>
      </x:c>
      <x:c r="K40" s="39" t="str">
        <x:v>Có</x:v>
      </x:c>
      <x:c r="L40" s="41" t="n">
        <x:v>46562</x:v>
      </x:c>
      <x:c r="M40" s="41" t="n">
        <x:v>46564</x:v>
      </x:c>
      <x:c r="N40" s="41" t="n">
        <x:v>46566</x:v>
      </x:c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9" t="str">
        <x:v>W39</x:v>
      </x:c>
      <x:c r="B41" s="41" t="n">
        <x:v>46567</x:v>
      </x:c>
      <x:c r="C41" s="41" t="n">
        <x:v>46573</x:v>
      </x:c>
      <x:c r="D41" s="39" t="str">
        <x:v>P7 · Thesis Finalization &amp; Defense</x:v>
      </x:c>
      <x:c r="E41" s="39" t="str">
        <x:v>Buffer / integration / spillover</x:v>
      </x:c>
      <x:c r="F41" s="39" t="str">
        <x:v>Buffer / integration / spillover</x:v>
      </x:c>
      <x:c r="G41" s="39" t="str">
        <x:v>Buffer / integration / spillover</x:v>
      </x:c>
      <x:c r="H41" s="39" t="str">
        <x:v>Buffer / integration / spillover</x:v>
      </x:c>
      <x:c r="I41" s="39" t="str">
        <x:v>Không thêm feature; chỉ critical hotfix + báo cáo/slide/rehearsal</x:v>
      </x:c>
      <x:c r="J41" s="39" t="str">
        <x:v>—</x:v>
      </x:c>
      <x:c r="K41" s="39" t="str">
        <x:v>Có</x:v>
      </x:c>
      <x:c r="L41" s="41" t="n">
        <x:v>46569</x:v>
      </x:c>
      <x:c r="M41" s="41" t="n">
        <x:v>46571</x:v>
      </x:c>
      <x:c r="N41" s="41" t="n">
        <x:v>46573</x:v>
      </x:c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9" t="str">
        <x:v>W40</x:v>
      </x:c>
      <x:c r="B42" s="41" t="n">
        <x:v>46574</x:v>
      </x:c>
      <x:c r="C42" s="41" t="n">
        <x:v>46580</x:v>
      </x:c>
      <x:c r="D42" s="39" t="str">
        <x:v>P7 · Thesis Finalization &amp; Defense</x:v>
      </x:c>
      <x:c r="E42" s="39" t="str">
        <x:v>Buffer / integration / spillover</x:v>
      </x:c>
      <x:c r="F42" s="39" t="str">
        <x:v>Buffer / integration / spillover</x:v>
      </x:c>
      <x:c r="G42" s="39" t="str">
        <x:v>Buffer / integration / spillover</x:v>
      </x:c>
      <x:c r="H42" s="39" t="str">
        <x:v>Buffer / integration / spillover</x:v>
      </x:c>
      <x:c r="I42" s="39" t="str">
        <x:v>Không thêm feature; chỉ critical hotfix + báo cáo/slide/rehearsal</x:v>
      </x:c>
      <x:c r="J42" s="39" t="str">
        <x:v>12/07: Phản biện</x:v>
      </x:c>
      <x:c r="K42" s="39" t="str">
        <x:v>Có</x:v>
      </x:c>
      <x:c r="L42" s="41" t="n">
        <x:v>46576</x:v>
      </x:c>
      <x:c r="M42" s="41" t="n">
        <x:v>46578</x:v>
      </x:c>
      <x:c r="N42" s="41" t="n">
        <x:v>46580</x:v>
      </x:c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9" t="str">
        <x:v>W41</x:v>
      </x:c>
      <x:c r="B43" s="41" t="n">
        <x:v>46581</x:v>
      </x:c>
      <x:c r="C43" s="41" t="n">
        <x:v>46587</x:v>
      </x:c>
      <x:c r="D43" s="39" t="str">
        <x:v>P7 · Thesis Finalization &amp; Defense</x:v>
      </x:c>
      <x:c r="E43" s="39" t="str">
        <x:v>Buffer / integration / spillover</x:v>
      </x:c>
      <x:c r="F43" s="39" t="str">
        <x:v>Buffer / integration / spillover</x:v>
      </x:c>
      <x:c r="G43" s="39" t="str">
        <x:v>Buffer / integration / spillover</x:v>
      </x:c>
      <x:c r="H43" s="39" t="str">
        <x:v>Buffer / integration / spillover</x:v>
      </x:c>
      <x:c r="I43" s="39" t="str">
        <x:v>Không thêm feature; chỉ critical hotfix + báo cáo/slide/rehearsal</x:v>
      </x:c>
      <x:c r="J43" s="39" t="str">
        <x:v>19/07: Bảo vệ KLTN window bắt đầu</x:v>
      </x:c>
      <x:c r="K43" s="39" t="str">
        <x:v>Tuỳ chọn</x:v>
      </x:c>
      <x:c r="L43" s="41" t="n">
        <x:v>46583</x:v>
      </x:c>
      <x:c r="M43" s="41" t="n">
        <x:v>46585</x:v>
      </x:c>
      <x:c r="N43" s="41" t="n">
        <x:v>46587</x:v>
      </x:c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9" t="str">
        <x:v>W42</x:v>
      </x:c>
      <x:c r="B44" s="41" t="n">
        <x:v>46588</x:v>
      </x:c>
      <x:c r="C44" s="41" t="n">
        <x:v>46594</x:v>
      </x:c>
      <x:c r="D44" s="39" t="str">
        <x:v>P7 · Thesis Finalization &amp; Defense</x:v>
      </x:c>
      <x:c r="E44" s="39" t="str">
        <x:v>Buffer / integration / spillover</x:v>
      </x:c>
      <x:c r="F44" s="39" t="str">
        <x:v>Buffer / integration / spillover</x:v>
      </x:c>
      <x:c r="G44" s="39" t="str">
        <x:v>Buffer / integration / spillover</x:v>
      </x:c>
      <x:c r="H44" s="39" t="str">
        <x:v>Buffer / integration / spillover</x:v>
      </x:c>
      <x:c r="I44" s="39" t="str">
        <x:v>Không thêm feature; chỉ critical hotfix + báo cáo/slide/rehearsal</x:v>
      </x:c>
      <x:c r="J44" s="39" t="str">
        <x:v>—</x:v>
      </x:c>
      <x:c r="K44" s="39" t="str">
        <x:v>Có</x:v>
      </x:c>
      <x:c r="L44" s="41" t="n">
        <x:v>46590</x:v>
      </x:c>
      <x:c r="M44" s="41" t="n">
        <x:v>46592</x:v>
      </x:c>
      <x:c r="N44" s="41" t="n">
        <x:v>46594</x:v>
      </x:c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9" t="str">
        <x:v>W43</x:v>
      </x:c>
      <x:c r="B45" s="41" t="n">
        <x:v>46595</x:v>
      </x:c>
      <x:c r="C45" s="41" t="n">
        <x:v>46601</x:v>
      </x:c>
      <x:c r="D45" s="39" t="str">
        <x:v>P7 · Thesis Finalization &amp; Defense</x:v>
      </x:c>
      <x:c r="E45" s="39" t="str">
        <x:v>Buffer / integration / spillover</x:v>
      </x:c>
      <x:c r="F45" s="39" t="str">
        <x:v>Buffer / integration / spillover</x:v>
      </x:c>
      <x:c r="G45" s="39" t="str">
        <x:v>Buffer / integration / spillover</x:v>
      </x:c>
      <x:c r="H45" s="39" t="str">
        <x:v>Buffer / integration / spillover</x:v>
      </x:c>
      <x:c r="I45" s="39" t="str">
        <x:v>Không thêm feature; chỉ critical hotfix + báo cáo/slide/rehearsal</x:v>
      </x:c>
      <x:c r="J45" s="39" t="str">
        <x:v>—</x:v>
      </x:c>
      <x:c r="K45" s="39" t="str">
        <x:v>Tuỳ chọn</x:v>
      </x:c>
      <x:c r="L45" s="41" t="n">
        <x:v>46597</x:v>
      </x:c>
      <x:c r="M45" s="41" t="n">
        <x:v>46599</x:v>
      </x:c>
      <x:c r="N45" s="41" t="n">
        <x:v>46601</x:v>
      </x:c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pageMargins left="0.7" right="0.7" top="0.75" bottom="0.75" header="0.3" footer="0.3"/>
  <x:tableParts count="1">
    <x:tablePart xmlns:r="http://schemas.openxmlformats.org/officeDocument/2006/relationships" r:id="R9aac30d47fd342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34" hidden="0" customWidth="1"/>
    <x:col min="6" max="6" width="60" hidden="0" customWidth="1"/>
    <x:col min="7" max="7" width="55" hidden="0" customWidth="1"/>
    <x:col min="8" max="8" width="8" hidden="0" customWidth="1"/>
    <x:col min="9" max="9" width="16" hidden="0" customWidth="1"/>
    <x:col min="10" max="10" width="28" hidden="0" customWidth="1"/>
  </x:cols>
  <x:sheetData>
    <x:row r="1">
      <x:c r="A1" s="28" t="str">
        <x:v>Cycle</x:v>
      </x:c>
      <x:c r="B1" s="28" t="str">
        <x:v>Period</x:v>
      </x:c>
      <x:c r="C1" s="28" t="str">
        <x:v>Owner</x:v>
      </x:c>
      <x:c r="D1" s="28" t="str">
        <x:v>WP</x:v>
      </x:c>
      <x:c r="E1" s="28" t="str">
        <x:v>Goal</x:v>
      </x:c>
      <x:c r="F1" s="28" t="str">
        <x:v>Deliverable</x:v>
      </x:c>
      <x:c r="G1" s="28" t="str">
        <x:v>Evidence</x:v>
      </x:c>
      <x:c r="H1" s="28" t="str">
        <x:v>Done</x:v>
      </x:c>
      <x:c r="I1" s="28" t="str">
        <x:v>Status</x:v>
      </x:c>
      <x:c r="J1" s="28" t="str">
        <x:v>Note</x:v>
      </x:c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B0</x:v>
      </x:c>
      <x:c r="B2" s="39" t="str">
        <x:v>27/09/2026 → 05/10/2026</x:v>
      </x:c>
      <x:c r="C2" s="39" t="str">
        <x:v>Hùng</x:v>
      </x:c>
      <x:c r="D2" s="39" t="str">
        <x:v>H-WP03</x:v>
      </x:c>
      <x:c r="E2" s="39" t="str">
        <x:v>Session &amp; Token Security</x:v>
      </x:c>
      <x:c r="F2" s="39" t="str">
        <x:v>auth_session; JWT access 15'; opaque refresh; token hash; rotation/reuse detection; revoke current/all session; tests.</x:v>
      </x:c>
      <x:c r="G2" s="39" t="str">
        <x:v>Integration test login→refresh→rotate→reuse=401; DB không lưu raw refresh token.</x:v>
      </x:c>
      <x:c r="H2" s="39" t="str">
        <x:v>☐</x:v>
      </x:c>
      <x:c r="I2" s="39" t="str">
        <x:v>Chưa bắt đầu</x:v>
      </x:c>
      <x:c r="J2" s="39" t="str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B0</x:v>
      </x:c>
      <x:c r="B3" s="39" t="str">
        <x:v>27/09/2026 → 05/10/2026</x:v>
      </x:c>
      <x:c r="C3" s="39" t="str">
        <x:v>Khải</x:v>
      </x:c>
      <x:c r="D3" s="39" t="str">
        <x:v>K-WP01</x:v>
      </x:c>
      <x:c r="E3" s="39" t="str">
        <x:v>URL Intake, Normalization, Cache &amp; Basic Signals</x:v>
      </x:c>
      <x:c r="F3" s="39" t="str">
        <x:v>POST /v1/scans/url contract; URL normalize/hash; cache/result path; basic lexical signals; worker fixture.</x:v>
      </x:c>
      <x:c r="G3" s="39" t="str">
        <x:v>15 URL variants normalize đúng; cache hit/miss test; fixture worker-result pass contract.</x:v>
      </x:c>
      <x:c r="H3" s="39" t="str">
        <x:v>☐</x:v>
      </x:c>
      <x:c r="I3" s="39" t="str">
        <x:v>Chưa bắt đầu</x:v>
      </x:c>
      <x:c r="J3" s="39" t="str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B0</x:v>
      </x:c>
      <x:c r="B4" s="39" t="str">
        <x:v>27/09/2026 → 05/10/2026</x:v>
      </x:c>
      <x:c r="C4" s="39" t="str">
        <x:v>Kiên</x:v>
      </x:c>
      <x:c r="D4" s="39" t="str">
        <x:v>I-WP11</x:v>
      </x:c>
      <x:c r="E4" s="39" t="str">
        <x:v>Request Controls, Authorization &amp; Scan Dispatch</x:v>
      </x:c>
      <x:c r="F4" s="39" t="str">
        <x:v>validate input; guest/user AccessContext; create ScanRequest; dispatch async bằng FakeMessageBus; 202 + scanId.</x:v>
      </x:c>
      <x:c r="G4" s="39" t="str">
        <x:v>Contract test 4 scan types; unauthorized/invalid input đúng; dispatch event đúng schema.</x:v>
      </x:c>
      <x:c r="H4" s="39" t="str">
        <x:v>☐</x:v>
      </x:c>
      <x:c r="I4" s="39" t="str">
        <x:v>Chưa bắt đầu</x:v>
      </x:c>
      <x:c r="J4" s="39" t="str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B0</x:v>
      </x:c>
      <x:c r="B5" s="39" t="str">
        <x:v>27/09/2026 → 05/10/2026</x:v>
      </x:c>
      <x:c r="C5" s="39" t="str">
        <x:v>Thắng</x:v>
      </x:c>
      <x:c r="D5" s="39" t="str">
        <x:v>T-WP01</x:v>
      </x:c>
      <x:c r="E5" s="39" t="str">
        <x:v>Vietnamese Text Normalization &amp; Evasion Handling</x:v>
      </x:c>
      <x:c r="F5" s="39" t="str">
        <x:v>normalization pipeline tiếng Việt; obfuscation/evasion fixtures; unit tests; output dùng được bởi text worker.</x:v>
      </x:c>
      <x:c r="G5" s="39" t="str">
        <x:v>Bộ fixture scam/benign/evasion chạy xanh; normalization không phá phone/account/url extraction.</x:v>
      </x:c>
      <x:c r="H5" s="39" t="str">
        <x:v>☐</x:v>
      </x:c>
      <x:c r="I5" s="39" t="str">
        <x:v>Chưa bắt đầu</x:v>
      </x:c>
      <x:c r="J5" s="39" t="str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B0</x:v>
      </x:c>
      <x:c r="B6" s="39" t="str">
        <x:v>27/09/2026 → 05/10/2026</x:v>
      </x:c>
      <x:c r="C6" s="39" t="str">
        <x:v>Cả nhóm</x:v>
      </x:c>
      <x:c r="D6" s="39" t="str">
        <x:v>TEAM-C01</x:v>
      </x:c>
      <x:c r="E6" s="39" t="str">
        <x:v>Contract Freeze v1 + baseline audit</x:v>
      </x:c>
      <x:c r="F6" s="39" t="str">
        <x:v>Freeze AccessContext, ScanJobEnvelope, WorkerAnalysisResult, RiskResult, NotificationPort; rà repo để tick phần đã làm trước 27/09.</x:v>
      </x:c>
      <x:c r="G6" s="39" t="str">
        <x:v>Contract files merge main; tracker status được cập nhật; smoke test local stack.</x:v>
      </x:c>
      <x:c r="H6" s="39" t="str">
        <x:v>☐</x:v>
      </x:c>
      <x:c r="I6" s="39" t="str">
        <x:v>Chưa bắt đầu</x:v>
      </x:c>
      <x:c r="J6" s="39" t="str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W01</x:v>
      </x:c>
      <x:c r="B7" s="39" t="str">
        <x:v>06/10/2026 → 12/10/2026</x:v>
      </x:c>
      <x:c r="C7" s="39" t="str">
        <x:v>Hùng</x:v>
      </x:c>
      <x:c r="D7" s="39" t="str">
        <x:v>H-WP01</x:v>
      </x:c>
      <x:c r="E7" s="39" t="str">
        <x:v>Local Registration &amp; Email Verification</x:v>
      </x:c>
      <x:c r="F7" s="39" t="str">
        <x:v>register Local; password hash; email normalization/unique; verification challenge; resend rate limit qua MockNotificationPort.</x:v>
      </x:c>
      <x:c r="G7" s="39" t="str">
        <x:v>Register/login test; challenge expiry/single-use test; không log password/OTP.</x:v>
      </x:c>
      <x:c r="H7" s="39" t="str">
        <x:v>☐</x:v>
      </x:c>
      <x:c r="I7" s="39" t="str">
        <x:v>Chưa bắt đầu</x:v>
      </x:c>
      <x:c r="J7" s="39" t="str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W01</x:v>
      </x:c>
      <x:c r="B8" s="39" t="str">
        <x:v>06/10/2026 → 12/10/2026</x:v>
      </x:c>
      <x:c r="C8" s="39" t="str">
        <x:v>Khải</x:v>
      </x:c>
      <x:c r="D8" s="39" t="str">
        <x:v>K-WP02</x:v>
      </x:c>
      <x:c r="E8" s="39" t="str">
        <x:v>Safe Fetch &amp; SSRF Guard</x:v>
      </x:c>
      <x:c r="F8" s="39" t="str">
        <x:v>allow http/https; DNS resolve trước connect; private/link-local block; redirect re-check; size/timeout limits; attack tests.</x:v>
      </x:c>
      <x:c r="G8" s="39" t="str">
        <x:v>169.254.169.254/localhost/DNS rebinding/redirect nội bộ đều bị chặn.</x:v>
      </x:c>
      <x:c r="H8" s="39" t="str">
        <x:v>☐</x:v>
      </x:c>
      <x:c r="I8" s="39" t="str">
        <x:v>Chưa bắt đầu</x:v>
      </x:c>
      <x:c r="J8" s="39" t="str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W01</x:v>
      </x:c>
      <x:c r="B9" s="39" t="str">
        <x:v>06/10/2026 → 12/10/2026</x:v>
      </x:c>
      <x:c r="C9" s="39" t="str">
        <x:v>Kiên</x:v>
      </x:c>
      <x:c r="D9" s="39" t="str">
        <x:v>I-WP12</x:v>
      </x:c>
      <x:c r="E9" s="39" t="str">
        <x:v>Scan Lifecycle, Event Envelope, Retry &amp; Idempotency</x:v>
      </x:c>
      <x:c r="F9" s="39" t="str">
        <x:v>PENDING→PROCESSING→COMPLETED/FAILED; event envelope; dedupe eventId; retry/DLQ; no infinite processing.</x:v>
      </x:c>
      <x:c r="G9" s="39" t="str">
        <x:v>Race/idempotency/retry test xanh; duplicate event không tạo duplicate state transition.</x:v>
      </x:c>
      <x:c r="H9" s="39" t="str">
        <x:v>☐</x:v>
      </x:c>
      <x:c r="I9" s="39" t="str">
        <x:v>Chưa bắt đầu</x:v>
      </x:c>
      <x:c r="J9" s="39" t="str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W01</x:v>
      </x:c>
      <x:c r="B10" s="39" t="str">
        <x:v>06/10/2026 → 12/10/2026</x:v>
      </x:c>
      <x:c r="C10" s="39" t="str">
        <x:v>Thắng</x:v>
      </x:c>
      <x:c r="D10" s="39" t="str">
        <x:v>T-WP02</x:v>
      </x:c>
      <x:c r="E10" s="39" t="str">
        <x:v>Async Text Scan, Scam Patterns &amp; User Result UX</x:v>
      </x:c>
      <x:c r="F10" s="39" t="str">
        <x:v>POST /v1/scans/text; MESSAGE/TRANSACTION_POST; fake bus worker flow; evidence/result UX theo RiskResult mock.</x:v>
      </x:c>
      <x:c r="G10" s="39" t="str">
        <x:v>Submit→202 scanId→PROCESSING→RiskResult fixture; UI render evidence/recommendation.</x:v>
      </x:c>
      <x:c r="H10" s="39" t="str">
        <x:v>☐</x:v>
      </x:c>
      <x:c r="I10" s="39" t="str">
        <x:v>Chưa bắt đầu</x:v>
      </x:c>
      <x:c r="J10" s="39" t="str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W01</x:v>
      </x:c>
      <x:c r="B11" s="39" t="str">
        <x:v>06/10/2026 → 12/10/2026</x:v>
      </x:c>
      <x:c r="C11" s="39" t="str">
        <x:v>Cả nhóm</x:v>
      </x:c>
      <x:c r="D11" s="39" t="str">
        <x:v>TEAM-C02</x:v>
      </x:c>
      <x:c r="E11" s="39" t="str">
        <x:v>Integration checkpoint 1</x:v>
      </x:c>
      <x:c r="F11" s="39" t="str">
        <x:v>Nối auth context → scan dispatch → text/url worker fixture → RiskResult mock; fix contract mismatches only.</x:v>
      </x:c>
      <x:c r="G11" s="39" t="str">
        <x:v>End-to-end smoke test chạy được bằng mock/fake, không cần AI/threat thật.</x:v>
      </x:c>
      <x:c r="H11" s="39" t="str">
        <x:v>☐</x:v>
      </x:c>
      <x:c r="I11" s="39" t="str">
        <x:v>Chưa bắt đầu</x:v>
      </x:c>
      <x:c r="J11" s="39" t="str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dataValidations count="2">
    <x:dataValidation type="list" sqref="H2:H11">
      <x:formula1>"☐,☑"</x:formula1>
    </x:dataValidation>
    <x:dataValidation type="list" sqref="I2:I11">
      <x:formula1>"Chưa bắt đầu,Đang làm,Blocked,Done"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c8b3bc584c48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42" hidden="0" customWidth="1"/>
    <x:col min="5" max="5" width="46" hidden="0" customWidth="1"/>
    <x:col min="6" max="6" width="8" hidden="0" customWidth="1"/>
    <x:col min="7" max="7" width="8" hidden="0" customWidth="1"/>
    <x:col min="8" max="8" width="8" hidden="0" customWidth="1"/>
    <x:col min="9" max="9" width="10" hidden="0" customWidth="1"/>
    <x:col min="10" max="10" width="14" hidden="0" customWidth="1"/>
    <x:col min="11" max="11" width="55" hidden="0" customWidth="1"/>
  </x:cols>
  <x:sheetData>
    <x:row r="1">
      <x:c r="A1" s="28" t="str">
        <x:v>WP</x:v>
      </x:c>
      <x:c r="B1" s="28" t="str">
        <x:v>Owner</x:v>
      </x:c>
      <x:c r="C1" s="28" t="str">
        <x:v>Module</x:v>
      </x:c>
      <x:c r="D1" s="28" t="str">
        <x:v>Work Package</x:v>
      </x:c>
      <x:c r="E1" s="28" t="str">
        <x:v>Feature IDs</x:v>
      </x:c>
      <x:c r="F1" s="28" t="str">
        <x:v>P0</x:v>
      </x:c>
      <x:c r="G1" s="28" t="str">
        <x:v>P1</x:v>
      </x:c>
      <x:c r="H1" s="28" t="str">
        <x:v>P2</x:v>
      </x:c>
      <x:c r="I1" s="28" t="str">
        <x:v>Workload</x:v>
      </x:c>
      <x:c r="J1" s="28" t="str">
        <x:v>Scope</x:v>
      </x:c>
      <x:c r="K1" s="28" t="str">
        <x:v>Mock / Contract Boundary</x:v>
      </x:c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H-WP01</x:v>
      </x:c>
      <x:c r="B2" s="39" t="str">
        <x:v>Hùng</x:v>
      </x:c>
      <x:c r="C2" s="39" t="str">
        <x:v>M01</x:v>
      </x:c>
      <x:c r="D2" s="39" t="str">
        <x:v>Local Registration &amp; Email Verification</x:v>
      </x:c>
      <x:c r="E2" s="39" t="str">
        <x:v>M01-F001, M01-F002, M01-F003, M01-F004, M01-F005</x:v>
      </x:c>
      <x:c r="F2" s="39" t="n">
        <x:v>4</x:v>
      </x:c>
      <x:c r="G2" s="39" t="n">
        <x:v>1</x:v>
      </x:c>
      <x:c r="H2" s="39" t="n">
        <x:v>0</x:v>
      </x:c>
      <x:c r="I2" s="39" t="n">
        <x:v>14</x:v>
      </x:c>
      <x:c r="J2" s="39" t="str">
        <x:v>Core</x:v>
      </x:c>
      <x:c r="K2" s="39" t="str">
        <x:v>MockNotificationPort + FakeAccessContext/EntitlementContext; external IdP behind adapter</x:v>
      </x:c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H-WP02</x:v>
      </x:c>
      <x:c r="B3" s="39" t="str">
        <x:v>Hùng</x:v>
      </x:c>
      <x:c r="C3" s="39" t="str">
        <x:v>M01</x:v>
      </x:c>
      <x:c r="D3" s="39" t="str">
        <x:v>External Identity, Guest Access &amp; Account Linking</x:v>
      </x:c>
      <x:c r="E3" s="39" t="str">
        <x:v>M01-F006, M01-F007, M01-F019, M01-F020</x:v>
      </x:c>
      <x:c r="F3" s="39" t="n">
        <x:v>3</x:v>
      </x:c>
      <x:c r="G3" s="39" t="n">
        <x:v>1</x:v>
      </x:c>
      <x:c r="H3" s="39" t="n">
        <x:v>0</x:v>
      </x:c>
      <x:c r="I3" s="39" t="n">
        <x:v>11</x:v>
      </x:c>
      <x:c r="J3" s="39" t="str">
        <x:v>Core</x:v>
      </x:c>
      <x:c r="K3" s="39" t="str">
        <x:v>MockNotificationPort + FakeAccessContext/EntitlementContext; external IdP behind adapter</x:v>
      </x:c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H-WP03</x:v>
      </x:c>
      <x:c r="B4" s="39" t="str">
        <x:v>Hùng</x:v>
      </x:c>
      <x:c r="C4" s="39" t="str">
        <x:v>M01</x:v>
      </x:c>
      <x:c r="D4" s="39" t="str">
        <x:v>Session &amp; Token Security</x:v>
      </x:c>
      <x:c r="E4" s="39" t="str">
        <x:v>M01-F008, M01-F009, M01-F010, M01-F011, M01-F012, M01-F013, M01-F014, M01-F041</x:v>
      </x:c>
      <x:c r="F4" s="39" t="n">
        <x:v>6</x:v>
      </x:c>
      <x:c r="G4" s="39" t="n">
        <x:v>2</x:v>
      </x:c>
      <x:c r="H4" s="39" t="n">
        <x:v>0</x:v>
      </x:c>
      <x:c r="I4" s="39" t="n">
        <x:v>22</x:v>
      </x:c>
      <x:c r="J4" s="39" t="str">
        <x:v>Core</x:v>
      </x:c>
      <x:c r="K4" s="39" t="str">
        <x:v>MockNotificationPort + FakeAccessContext/EntitlementContext; external IdP behind adapter</x:v>
      </x:c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H-WP04</x:v>
      </x:c>
      <x:c r="B5" s="39" t="str">
        <x:v>Hùng</x:v>
      </x:c>
      <x:c r="C5" s="39" t="str">
        <x:v>M01</x:v>
      </x:c>
      <x:c r="D5" s="39" t="str">
        <x:v>Profile, Password Lifecycle &amp; Privacy</x:v>
      </x:c>
      <x:c r="E5" s="39" t="str">
        <x:v>M01-F015, M01-F016, M01-F017, M01-F018, M01-F038, M01-F039, M01-F040</x:v>
      </x:c>
      <x:c r="F5" s="39" t="n">
        <x:v>3</x:v>
      </x:c>
      <x:c r="G5" s="39" t="n">
        <x:v>3</x:v>
      </x:c>
      <x:c r="H5" s="39" t="n">
        <x:v>1</x:v>
      </x:c>
      <x:c r="I5" s="39" t="n">
        <x:v>16</x:v>
      </x:c>
      <x:c r="J5" s="39" t="str">
        <x:v>Core</x:v>
      </x:c>
      <x:c r="K5" s="39" t="str">
        <x:v>MockNotificationPort + FakeAccessContext/EntitlementContext; external IdP behind adapter</x:v>
      </x:c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H-WP05</x:v>
      </x:c>
      <x:c r="B6" s="39" t="str">
        <x:v>Hùng</x:v>
      </x:c>
      <x:c r="C6" s="39" t="str">
        <x:v>M01</x:v>
      </x:c>
      <x:c r="D6" s="39" t="str">
        <x:v>RBAC &amp; User Administration</x:v>
      </x:c>
      <x:c r="E6" s="39" t="str">
        <x:v>M01-F021, M01-F022, M01-F023, M01-F024, M01-F025, M01-F026, M01-F027</x:v>
      </x:c>
      <x:c r="F6" s="39" t="n">
        <x:v>3</x:v>
      </x:c>
      <x:c r="G6" s="39" t="n">
        <x:v>3</x:v>
      </x:c>
      <x:c r="H6" s="39" t="n">
        <x:v>1</x:v>
      </x:c>
      <x:c r="I6" s="39" t="n">
        <x:v>16</x:v>
      </x:c>
      <x:c r="J6" s="39" t="str">
        <x:v>Core</x:v>
      </x:c>
      <x:c r="K6" s="39" t="str">
        <x:v>MockNotificationPort + FakeAccessContext/EntitlementContext; external IdP behind adapter</x:v>
      </x:c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H-WP06</x:v>
      </x:c>
      <x:c r="B7" s="39" t="str">
        <x:v>Hùng</x:v>
      </x:c>
      <x:c r="C7" s="39" t="str">
        <x:v>M01</x:v>
      </x:c>
      <x:c r="D7" s="39" t="str">
        <x:v>Advanced Account Security</x:v>
      </x:c>
      <x:c r="E7" s="39" t="str">
        <x:v>M01-F028, M01-F029, M01-F030, M01-F031, M01-F032, M01-F033</x:v>
      </x:c>
      <x:c r="F7" s="39" t="n">
        <x:v>0</x:v>
      </x:c>
      <x:c r="G7" s="39" t="n">
        <x:v>3</x:v>
      </x:c>
      <x:c r="H7" s="39" t="n">
        <x:v>3</x:v>
      </x:c>
      <x:c r="I7" s="39" t="n">
        <x:v>9</x:v>
      </x:c>
      <x:c r="J7" s="39" t="str">
        <x:v>Core</x:v>
      </x:c>
      <x:c r="K7" s="39" t="str">
        <x:v>MockNotificationPort + FakeAccessContext/EntitlementContext; external IdP behind adapter</x:v>
      </x:c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H-WP07</x:v>
      </x:c>
      <x:c r="B8" s="39" t="str">
        <x:v>Hùng</x:v>
      </x:c>
      <x:c r="C8" s="39" t="str">
        <x:v>M01</x:v>
      </x:c>
      <x:c r="D8" s="39" t="str">
        <x:v>Abuse Protection &amp; Account Quota</x:v>
      </x:c>
      <x:c r="E8" s="39" t="str">
        <x:v>M01-F034, M01-F035, M01-F036, M01-F037</x:v>
      </x:c>
      <x:c r="F8" s="39" t="n">
        <x:v>3</x:v>
      </x:c>
      <x:c r="G8" s="39" t="n">
        <x:v>0</x:v>
      </x:c>
      <x:c r="H8" s="39" t="n">
        <x:v>1</x:v>
      </x:c>
      <x:c r="I8" s="39" t="n">
        <x:v>10</x:v>
      </x:c>
      <x:c r="J8" s="39" t="str">
        <x:v>Core</x:v>
      </x:c>
      <x:c r="K8" s="39" t="str">
        <x:v>MockNotificationPort + FakeAccessContext/EntitlementContext; external IdP behind adapter</x:v>
      </x:c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H-WP08</x:v>
      </x:c>
      <x:c r="B9" s="39" t="str">
        <x:v>Hùng</x:v>
      </x:c>
      <x:c r="C9" s="39" t="str">
        <x:v>M10</x:v>
      </x:c>
      <x:c r="D9" s="39" t="str">
        <x:v>Notification Center &amp; User Follow-up UX</x:v>
      </x:c>
      <x:c r="E9" s="39" t="str">
        <x:v>M10-F001, M10-F002, M10-F004, M10-F005, M10-F006, M10-F007</x:v>
      </x:c>
      <x:c r="F9" s="39" t="n">
        <x:v>0</x:v>
      </x:c>
      <x:c r="G9" s="39" t="n">
        <x:v>3</x:v>
      </x:c>
      <x:c r="H9" s="39" t="n">
        <x:v>3</x:v>
      </x:c>
      <x:c r="I9" s="39" t="n">
        <x:v>9</x:v>
      </x:c>
      <x:c r="J9" s="39" t="str">
        <x:v>Core</x:v>
      </x:c>
      <x:c r="K9" s="39" t="str">
        <x:v>InMemory/Console providers + MockNotificationPort + notification event fixtures</x:v>
      </x:c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H-WP09</x:v>
      </x:c>
      <x:c r="B10" s="39" t="str">
        <x:v>Hùng</x:v>
      </x:c>
      <x:c r="C10" s="39" t="str">
        <x:v>M10</x:v>
      </x:c>
      <x:c r="D10" s="39" t="str">
        <x:v>Notification Delivery Reliability</x:v>
      </x:c>
      <x:c r="E10" s="39" t="str">
        <x:v>M10-F003, M10-F009, M10-F017</x:v>
      </x:c>
      <x:c r="F10" s="39" t="n">
        <x:v>0</x:v>
      </x:c>
      <x:c r="G10" s="39" t="n">
        <x:v>3</x:v>
      </x:c>
      <x:c r="H10" s="39" t="n">
        <x:v>0</x:v>
      </x:c>
      <x:c r="I10" s="39" t="n">
        <x:v>6</x:v>
      </x:c>
      <x:c r="J10" s="39" t="str">
        <x:v>Core</x:v>
      </x:c>
      <x:c r="K10" s="39" t="str">
        <x:v>InMemory/Console providers + MockNotificationPort + notification event fixtures</x:v>
      </x:c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H-WP10</x:v>
      </x:c>
      <x:c r="B11" s="39" t="str">
        <x:v>Hùng</x:v>
      </x:c>
      <x:c r="C11" s="39" t="str">
        <x:v>M10</x:v>
      </x:c>
      <x:c r="D11" s="39" t="str">
        <x:v>Notification Contract, Routing &amp; Channel Abstraction</x:v>
      </x:c>
      <x:c r="E11" s="39" t="str">
        <x:v>M10-F008, M10-F010, M10-F011, M10-F012</x:v>
      </x:c>
      <x:c r="F11" s="39" t="n">
        <x:v>3</x:v>
      </x:c>
      <x:c r="G11" s="39" t="n">
        <x:v>1</x:v>
      </x:c>
      <x:c r="H11" s="39" t="n">
        <x:v>0</x:v>
      </x:c>
      <x:c r="I11" s="39" t="n">
        <x:v>11</x:v>
      </x:c>
      <x:c r="J11" s="39" t="str">
        <x:v>Core</x:v>
      </x:c>
      <x:c r="K11" s="39" t="str">
        <x:v>InMemory/Console providers + MockNotificationPort + notification event fixtures</x:v>
      </x:c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 t="str">
        <x:v>H-WP11</x:v>
      </x:c>
      <x:c r="B12" s="39" t="str">
        <x:v>Hùng</x:v>
      </x:c>
      <x:c r="C12" s="39" t="str">
        <x:v>M10</x:v>
      </x:c>
      <x:c r="D12" s="39" t="str">
        <x:v>Notification Endpoints, Preferences, Templates &amp; Secret Safety</x:v>
      </x:c>
      <x:c r="E12" s="39" t="str">
        <x:v>M10-F013, M10-F014, M10-F015, M10-F016, M10-F018</x:v>
      </x:c>
      <x:c r="F12" s="39" t="n">
        <x:v>1</x:v>
      </x:c>
      <x:c r="G12" s="39" t="n">
        <x:v>3</x:v>
      </x:c>
      <x:c r="H12" s="39" t="n">
        <x:v>1</x:v>
      </x:c>
      <x:c r="I12" s="39" t="n">
        <x:v>10</x:v>
      </x:c>
      <x:c r="J12" s="39" t="str">
        <x:v>Core</x:v>
      </x:c>
      <x:c r="K12" s="39" t="str">
        <x:v>InMemory/Console providers + MockNotificationPort + notification event fixtures</x:v>
      </x:c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9" t="str">
        <x:v>H-WP12</x:v>
      </x:c>
      <x:c r="B13" s="39" t="str">
        <x:v>Hùng</x:v>
      </x:c>
      <x:c r="C13" s="39" t="str">
        <x:v>M13</x:v>
      </x:c>
      <x:c r="D13" s="39" t="str">
        <x:v>Data Privacy &amp; Secret Baseline</x:v>
      </x:c>
      <x:c r="E13" s="39" t="str">
        <x:v>M13-F001, M13-F002, M13-F005, M13-F035</x:v>
      </x:c>
      <x:c r="F13" s="39" t="n">
        <x:v>4</x:v>
      </x:c>
      <x:c r="G13" s="39" t="n">
        <x:v>0</x:v>
      </x:c>
      <x:c r="H13" s="39" t="n">
        <x:v>0</x:v>
      </x:c>
      <x:c r="I13" s="39" t="n">
        <x:v>12</x:v>
      </x:c>
      <x:c r="J13" s="39" t="str">
        <x:v>Core</x:v>
      </x:c>
      <x:c r="K13" s="39" t="str">
        <x:v>shared local compose + env templates + service test doubles; no business logic ownership</x:v>
      </x:c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9" t="str">
        <x:v>H-WP13</x:v>
      </x:c>
      <x:c r="B14" s="39" t="str">
        <x:v>Hùng</x:v>
      </x:c>
      <x:c r="C14" s="39" t="str">
        <x:v>M13</x:v>
      </x:c>
      <x:c r="D14" s="39" t="str">
        <x:v>Local Runtime, Containers &amp; Service Readiness</x:v>
      </x:c>
      <x:c r="E14" s="39" t="str">
        <x:v>M13-F003, M13-F004, M13-F006, M13-F007, M13-F008, M13-F009, M13-F010, M13-F011</x:v>
      </x:c>
      <x:c r="F14" s="39" t="n">
        <x:v>3</x:v>
      </x:c>
      <x:c r="G14" s="39" t="n">
        <x:v>4</x:v>
      </x:c>
      <x:c r="H14" s="39" t="n">
        <x:v>1</x:v>
      </x:c>
      <x:c r="I14" s="39" t="n">
        <x:v>18</x:v>
      </x:c>
      <x:c r="J14" s="39" t="str">
        <x:v>Core</x:v>
      </x:c>
      <x:c r="K14" s="39" t="str">
        <x:v>shared local compose + env templates + service test doubles; no business logic ownership</x:v>
      </x:c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9" t="str">
        <x:v>H-WP14</x:v>
      </x:c>
      <x:c r="B15" s="39" t="str">
        <x:v>Hùng</x:v>
      </x:c>
      <x:c r="C15" s="39" t="str">
        <x:v>M13</x:v>
      </x:c>
      <x:c r="D15" s="39" t="str">
        <x:v>CI/CD &amp; Dependency Quality Gates</x:v>
      </x:c>
      <x:c r="E15" s="39" t="str">
        <x:v>M13-F012, M13-F013, M13-F014, M13-F015, M13-F016, M13-F017, M13-F020</x:v>
      </x:c>
      <x:c r="F15" s="39" t="n">
        <x:v>2</x:v>
      </x:c>
      <x:c r="G15" s="39" t="n">
        <x:v>4</x:v>
      </x:c>
      <x:c r="H15" s="39" t="n">
        <x:v>1</x:v>
      </x:c>
      <x:c r="I15" s="39" t="n">
        <x:v>15</x:v>
      </x:c>
      <x:c r="J15" s="39" t="str">
        <x:v>Core</x:v>
      </x:c>
      <x:c r="K15" s="39" t="str">
        <x:v>shared local compose + env templates + service test doubles; no business logic ownership</x:v>
      </x:c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9" t="str">
        <x:v>H-WP15</x:v>
      </x:c>
      <x:c r="B16" s="39" t="str">
        <x:v>Hùng</x:v>
      </x:c>
      <x:c r="C16" s="39" t="str">
        <x:v>M13</x:v>
      </x:c>
      <x:c r="D16" s="39" t="str">
        <x:v>Runtime Metrics &amp; Alerting</x:v>
      </x:c>
      <x:c r="E16" s="39" t="str">
        <x:v>M13-F018, M13-F019</x:v>
      </x:c>
      <x:c r="F16" s="39" t="n">
        <x:v>0</x:v>
      </x:c>
      <x:c r="G16" s="39" t="n">
        <x:v>0</x:v>
      </x:c>
      <x:c r="H16" s="39" t="n">
        <x:v>2</x:v>
      </x:c>
      <x:c r="I16" s="39" t="n">
        <x:v>2</x:v>
      </x:c>
      <x:c r="J16" s="39" t="str">
        <x:v>Core</x:v>
      </x:c>
      <x:c r="K16" s="39" t="str">
        <x:v>shared local compose + env templates + service test doubles; no business logic ownership</x:v>
      </x:c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9" t="str">
        <x:v>H-WP16</x:v>
      </x:c>
      <x:c r="B17" s="39" t="str">
        <x:v>Hùng</x:v>
      </x:c>
      <x:c r="C17" s="39" t="str">
        <x:v>M13</x:v>
      </x:c>
      <x:c r="D17" s="39" t="str">
        <x:v>Accessibility, i18n &amp; Mobile Entry Surfaces</x:v>
      </x:c>
      <x:c r="E17" s="39" t="str">
        <x:v>M13-F021, M13-F022, M13-F023, M13-F024, M13-F025, M13-F026, M13-F027, M13-F028, M13-F029</x:v>
      </x:c>
      <x:c r="F17" s="39" t="n">
        <x:v>1</x:v>
      </x:c>
      <x:c r="G17" s="39" t="n">
        <x:v>4</x:v>
      </x:c>
      <x:c r="H17" s="39" t="n">
        <x:v>4</x:v>
      </x:c>
      <x:c r="I17" s="39" t="n">
        <x:v>15</x:v>
      </x:c>
      <x:c r="J17" s="39" t="str">
        <x:v>Core</x:v>
      </x:c>
      <x:c r="K17" s="39" t="str">
        <x:v>shared local compose + env templates + service test doubles; no business logic ownership</x:v>
      </x:c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9" t="str">
        <x:v>H-WP17</x:v>
      </x:c>
      <x:c r="B18" s="39" t="str">
        <x:v>Hùng</x:v>
      </x:c>
      <x:c r="C18" s="39" t="str">
        <x:v>M13</x:v>
      </x:c>
      <x:c r="D18" s="39" t="str">
        <x:v>Core Infrastructure Topology, Storage &amp; Network Boundaries</x:v>
      </x:c>
      <x:c r="E18" s="39" t="str">
        <x:v>M13-F030, M13-F031, M13-F032, M13-F033, M13-F034</x:v>
      </x:c>
      <x:c r="F18" s="39" t="n">
        <x:v>5</x:v>
      </x:c>
      <x:c r="G18" s="39" t="n">
        <x:v>0</x:v>
      </x:c>
      <x:c r="H18" s="39" t="n">
        <x:v>0</x:v>
      </x:c>
      <x:c r="I18" s="39" t="n">
        <x:v>15</x:v>
      </x:c>
      <x:c r="J18" s="39" t="str">
        <x:v>Core</x:v>
      </x:c>
      <x:c r="K18" s="39" t="str">
        <x:v>shared local compose + env templates + service test doubles; no business logic ownership</x:v>
      </x:c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9" t="str">
        <x:v>K-WP01</x:v>
      </x:c>
      <x:c r="B19" s="39" t="str">
        <x:v>Khải</x:v>
      </x:c>
      <x:c r="C19" s="39" t="str">
        <x:v>M02</x:v>
      </x:c>
      <x:c r="D19" s="39" t="str">
        <x:v>URL Intake, Normalization, Cache &amp; Basic Signals</x:v>
      </x:c>
      <x:c r="E19" s="39" t="str">
        <x:v>M02-F001, M02-F002, M02-F003, M02-F004, M02-F005, M02-F006, M02-F007, M02-F008</x:v>
      </x:c>
      <x:c r="F19" s="39" t="n">
        <x:v>5</x:v>
      </x:c>
      <x:c r="G19" s="39" t="n">
        <x:v>2</x:v>
      </x:c>
      <x:c r="H19" s="39" t="n">
        <x:v>1</x:v>
      </x:c>
      <x:c r="I19" s="39" t="n">
        <x:v>20</x:v>
      </x:c>
      <x:c r="J19" s="39" t="str">
        <x:v>Core</x:v>
      </x:c>
      <x:c r="K19" s="39" t="str">
        <x:v>FakeMessageBus + MockThreatQuery + RiskResult/worker fixtures; no direct DB/core call from worker</x:v>
      </x:c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9" t="str">
        <x:v>K-WP02</x:v>
      </x:c>
      <x:c r="B20" s="39" t="str">
        <x:v>Khải</x:v>
      </x:c>
      <x:c r="C20" s="39" t="str">
        <x:v>M02</x:v>
      </x:c>
      <x:c r="D20" s="39" t="str">
        <x:v>Safe Fetch &amp; SSRF Guard</x:v>
      </x:c>
      <x:c r="E20" s="39" t="str">
        <x:v>M02-F009, M02-F010, M02-F011, M02-F012, M02-F013, M02-F014, M02-F015, M02-F016</x:v>
      </x:c>
      <x:c r="F20" s="39" t="n">
        <x:v>5</x:v>
      </x:c>
      <x:c r="G20" s="39" t="n">
        <x:v>2</x:v>
      </x:c>
      <x:c r="H20" s="39" t="n">
        <x:v>1</x:v>
      </x:c>
      <x:c r="I20" s="39" t="n">
        <x:v>20</x:v>
      </x:c>
      <x:c r="J20" s="39" t="str">
        <x:v>Core</x:v>
      </x:c>
      <x:c r="K20" s="39" t="str">
        <x:v>FakeMessageBus + MockThreatQuery + RiskResult/worker fixtures; no direct DB/core call from worker</x:v>
      </x:c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9" t="str">
        <x:v>K-WP03</x:v>
      </x:c>
      <x:c r="B21" s="39" t="str">
        <x:v>Khải</x:v>
      </x:c>
      <x:c r="C21" s="39" t="str">
        <x:v>M02</x:v>
      </x:c>
      <x:c r="D21" s="39" t="str">
        <x:v>Redirect Chain Analysis</x:v>
      </x:c>
      <x:c r="E21" s="39" t="str">
        <x:v>M02-F017, M02-F018, M02-F019, M02-F020, M02-F021, M02-F022, M02-F023</x:v>
      </x:c>
      <x:c r="F21" s="39" t="n">
        <x:v>2</x:v>
      </x:c>
      <x:c r="G21" s="39" t="n">
        <x:v>3</x:v>
      </x:c>
      <x:c r="H21" s="39" t="n">
        <x:v>2</x:v>
      </x:c>
      <x:c r="I21" s="39" t="n">
        <x:v>14</x:v>
      </x:c>
      <x:c r="J21" s="39" t="str">
        <x:v>Core</x:v>
      </x:c>
      <x:c r="K21" s="39" t="str">
        <x:v>FakeMessageBus + MockThreatQuery + RiskResult/worker fixtures; no direct DB/core call from worker</x:v>
      </x:c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9" t="str">
        <x:v>K-WP04</x:v>
      </x:c>
      <x:c r="B22" s="39" t="str">
        <x:v>Khải</x:v>
      </x:c>
      <x:c r="C22" s="39" t="str">
        <x:v>M02</x:v>
      </x:c>
      <x:c r="D22" s="39" t="str">
        <x:v>TLS, Certificate &amp; Security Header Analysis</x:v>
      </x:c>
      <x:c r="E22" s="39" t="str">
        <x:v>M02-F024, M02-F025, M02-F026, M02-F027, M02-F028, M02-F029, M02-F030</x:v>
      </x:c>
      <x:c r="F22" s="39" t="n">
        <x:v>2</x:v>
      </x:c>
      <x:c r="G22" s="39" t="n">
        <x:v>3</x:v>
      </x:c>
      <x:c r="H22" s="39" t="n">
        <x:v>2</x:v>
      </x:c>
      <x:c r="I22" s="39" t="n">
        <x:v>14</x:v>
      </x:c>
      <x:c r="J22" s="39" t="str">
        <x:v>Core</x:v>
      </x:c>
      <x:c r="K22" s="39" t="str">
        <x:v>FakeMessageBus + MockThreatQuery + RiskResult/worker fixtures; no direct DB/core call from worker</x:v>
      </x:c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9" t="str">
        <x:v>K-WP05</x:v>
      </x:c>
      <x:c r="B23" s="39" t="str">
        <x:v>Khải</x:v>
      </x:c>
      <x:c r="C23" s="39" t="str">
        <x:v>M02</x:v>
      </x:c>
      <x:c r="D23" s="39" t="str">
        <x:v>HTML/Form &amp; Web Content Analysis</x:v>
      </x:c>
      <x:c r="E23" s="39" t="str">
        <x:v>M02-F031, M02-F032, M02-F033, M02-F034, M02-F035, M02-F036, M02-F037, M02-F038</x:v>
      </x:c>
      <x:c r="F23" s="39" t="n">
        <x:v>3</x:v>
      </x:c>
      <x:c r="G23" s="39" t="n">
        <x:v>3</x:v>
      </x:c>
      <x:c r="H23" s="39" t="n">
        <x:v>2</x:v>
      </x:c>
      <x:c r="I23" s="39" t="n">
        <x:v>17</x:v>
      </x:c>
      <x:c r="J23" s="39" t="str">
        <x:v>Core</x:v>
      </x:c>
      <x:c r="K23" s="39" t="str">
        <x:v>FakeMessageBus + MockThreatQuery + RiskResult/worker fixtures; no direct DB/core call from worker</x:v>
      </x:c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9" t="str">
        <x:v>K-WP06</x:v>
      </x:c>
      <x:c r="B24" s="39" t="str">
        <x:v>Khải</x:v>
      </x:c>
      <x:c r="C24" s="39" t="str">
        <x:v>M02</x:v>
      </x:c>
      <x:c r="D24" s="39" t="str">
        <x:v>Brand Impersonation &amp; Typosquatting Detection</x:v>
      </x:c>
      <x:c r="E24" s="39" t="str">
        <x:v>M02-F039, M02-F040, M02-F041, M02-F042, M02-F043, M02-F044, M02-F045</x:v>
      </x:c>
      <x:c r="F24" s="39" t="n">
        <x:v>2</x:v>
      </x:c>
      <x:c r="G24" s="39" t="n">
        <x:v>3</x:v>
      </x:c>
      <x:c r="H24" s="39" t="n">
        <x:v>2</x:v>
      </x:c>
      <x:c r="I24" s="39" t="n">
        <x:v>14</x:v>
      </x:c>
      <x:c r="J24" s="39" t="str">
        <x:v>Core</x:v>
      </x:c>
      <x:c r="K24" s="39" t="str">
        <x:v>FakeMessageBus + MockThreatQuery + RiskResult/worker fixtures; no direct DB/core call from worker</x:v>
      </x:c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9" t="str">
        <x:v>K-WP07</x:v>
      </x:c>
      <x:c r="B25" s="39" t="str">
        <x:v>Khải</x:v>
      </x:c>
      <x:c r="C25" s="39" t="str">
        <x:v>M02</x:v>
      </x:c>
      <x:c r="D25" s="39" t="str">
        <x:v>Web Evidence Capture &amp; Retention</x:v>
      </x:c>
      <x:c r="E25" s="39" t="str">
        <x:v>M02-F046, M02-F047, M02-F048, M02-F049, M02-F050, M02-F051, M02-F052</x:v>
      </x:c>
      <x:c r="F25" s="39" t="n">
        <x:v>0</x:v>
      </x:c>
      <x:c r="G25" s="39" t="n">
        <x:v>4</x:v>
      </x:c>
      <x:c r="H25" s="39" t="n">
        <x:v>3</x:v>
      </x:c>
      <x:c r="I25" s="39" t="n">
        <x:v>11</x:v>
      </x:c>
      <x:c r="J25" s="39" t="str">
        <x:v>Core</x:v>
      </x:c>
      <x:c r="K25" s="39" t="str">
        <x:v>FakeMessageBus + MockThreatQuery + RiskResult/worker fixtures; no direct DB/core call from worker</x:v>
      </x:c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9" t="str">
        <x:v>K-WP08</x:v>
      </x:c>
      <x:c r="B26" s="39" t="str">
        <x:v>Khải</x:v>
      </x:c>
      <x:c r="C26" s="39" t="str">
        <x:v>M02</x:v>
      </x:c>
      <x:c r="D26" s="39" t="str">
        <x:v>URL Worker Contract &amp; Reputation Enrichment Boundary</x:v>
      </x:c>
      <x:c r="E26" s="39" t="str">
        <x:v>M02-F053, M02-F054, M02-F055, M02-F056</x:v>
      </x:c>
      <x:c r="F26" s="39" t="n">
        <x:v>4</x:v>
      </x:c>
      <x:c r="G26" s="39" t="n">
        <x:v>0</x:v>
      </x:c>
      <x:c r="H26" s="39" t="n">
        <x:v>0</x:v>
      </x:c>
      <x:c r="I26" s="39" t="n">
        <x:v>12</x:v>
      </x:c>
      <x:c r="J26" s="39" t="str">
        <x:v>Core</x:v>
      </x:c>
      <x:c r="K26" s="39" t="str">
        <x:v>FakeMessageBus + MockThreatQuery + RiskResult/worker fixtures; no direct DB/core call from worker</x:v>
      </x:c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9" t="str">
        <x:v>K-WP09</x:v>
      </x:c>
      <x:c r="B27" s="39" t="str">
        <x:v>Khải</x:v>
      </x:c>
      <x:c r="C27" s="39" t="str">
        <x:v>M04</x:v>
      </x:c>
      <x:c r="D27" s="39" t="str">
        <x:v>Phone Reputation Check</x:v>
      </x:c>
      <x:c r="E27" s="39" t="str">
        <x:v>M04-F001, M04-F002, M04-F003, M04-F004, M04-F005, M04-F006, M04-F007, M04-F008</x:v>
      </x:c>
      <x:c r="F27" s="39" t="n">
        <x:v>3</x:v>
      </x:c>
      <x:c r="G27" s="39" t="n">
        <x:v>3</x:v>
      </x:c>
      <x:c r="H27" s="39" t="n">
        <x:v>2</x:v>
      </x:c>
      <x:c r="I27" s="39" t="n">
        <x:v>17</x:v>
      </x:c>
      <x:c r="J27" s="39" t="str">
        <x:v>Core</x:v>
      </x:c>
      <x:c r="K27" s="39" t="str">
        <x:v>MockThreatQuery + entity fixtures + fake scan-platform adapter</x:v>
      </x:c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9" t="str">
        <x:v>K-WP10</x:v>
      </x:c>
      <x:c r="B28" s="39" t="str">
        <x:v>Khải</x:v>
      </x:c>
      <x:c r="C28" s="39" t="str">
        <x:v>M04</x:v>
      </x:c>
      <x:c r="D28" s="39" t="str">
        <x:v>Bank Account Reputation Check</x:v>
      </x:c>
      <x:c r="E28" s="39" t="str">
        <x:v>M04-F009, M04-F010, M04-F011, M04-F012, M04-F013, M04-F014, M04-F015, M04-F016</x:v>
      </x:c>
      <x:c r="F28" s="39" t="n">
        <x:v>3</x:v>
      </x:c>
      <x:c r="G28" s="39" t="n">
        <x:v>3</x:v>
      </x:c>
      <x:c r="H28" s="39" t="n">
        <x:v>2</x:v>
      </x:c>
      <x:c r="I28" s="39" t="n">
        <x:v>17</x:v>
      </x:c>
      <x:c r="J28" s="39" t="str">
        <x:v>Core</x:v>
      </x:c>
      <x:c r="K28" s="39" t="str">
        <x:v>MockThreatQuery + entity fixtures + fake scan-platform adapter</x:v>
      </x:c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9" t="str">
        <x:v>K-WP11</x:v>
      </x:c>
      <x:c r="B29" s="39" t="str">
        <x:v>Khải</x:v>
      </x:c>
      <x:c r="C29" s="39" t="str">
        <x:v>M04</x:v>
      </x:c>
      <x:c r="D29" s="39" t="str">
        <x:v>Unified Entity Scan Contract &amp; NO_DATA Semantics</x:v>
      </x:c>
      <x:c r="E29" s="39" t="str">
        <x:v>M04-F017, M04-F018</x:v>
      </x:c>
      <x:c r="F29" s="39" t="n">
        <x:v>2</x:v>
      </x:c>
      <x:c r="G29" s="39" t="n">
        <x:v>0</x:v>
      </x:c>
      <x:c r="H29" s="39" t="n">
        <x:v>0</x:v>
      </x:c>
      <x:c r="I29" s="39" t="n">
        <x:v>6</x:v>
      </x:c>
      <x:c r="J29" s="39" t="str">
        <x:v>Core</x:v>
      </x:c>
      <x:c r="K29" s="39" t="str">
        <x:v>MockThreatQuery + entity fixtures + fake scan-platform adapter</x:v>
      </x:c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9" t="str">
        <x:v>K-WP12</x:v>
      </x:c>
      <x:c r="B30" s="39" t="str">
        <x:v>Khải</x:v>
      </x:c>
      <x:c r="C30" s="39" t="str">
        <x:v>M07</x:v>
      </x:c>
      <x:c r="D30" s="39" t="str">
        <x:v>Community Report Submission &amp; Evidence</x:v>
      </x:c>
      <x:c r="E30" s="39" t="str">
        <x:v>M07-F001, M07-F002, M07-F003, M07-F004, M07-F005, M07-F006, M07-F007, M07-F008</x:v>
      </x:c>
      <x:c r="F30" s="39" t="n">
        <x:v>3</x:v>
      </x:c>
      <x:c r="G30" s="39" t="n">
        <x:v>3</x:v>
      </x:c>
      <x:c r="H30" s="39" t="n">
        <x:v>2</x:v>
      </x:c>
      <x:c r="I30" s="39" t="n">
        <x:v>17</x:v>
      </x:c>
      <x:c r="J30" s="39" t="str">
        <x:v>Core</x:v>
      </x:c>
      <x:c r="K30" s="39" t="str">
        <x:v>Seed report fixtures + MockThreatQuery + MockNotificationPort + InMemoryAuditPort</x:v>
      </x:c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9" t="str">
        <x:v>K-WP13</x:v>
      </x:c>
      <x:c r="B31" s="39" t="str">
        <x:v>Khải</x:v>
      </x:c>
      <x:c r="C31" s="39" t="str">
        <x:v>M07</x:v>
      </x:c>
      <x:c r="D31" s="39" t="str">
        <x:v>Moderation Queue &amp; Review Workflow</x:v>
      </x:c>
      <x:c r="E31" s="39" t="str">
        <x:v>M07-F009, M07-F010, M07-F011, M07-F012, M07-F013, M07-F014, M07-F015, M07-F016, M07-F017</x:v>
      </x:c>
      <x:c r="F31" s="39" t="n">
        <x:v>4</x:v>
      </x:c>
      <x:c r="G31" s="39" t="n">
        <x:v>3</x:v>
      </x:c>
      <x:c r="H31" s="39" t="n">
        <x:v>2</x:v>
      </x:c>
      <x:c r="I31" s="39" t="n">
        <x:v>20</x:v>
      </x:c>
      <x:c r="J31" s="39" t="str">
        <x:v>Core</x:v>
      </x:c>
      <x:c r="K31" s="39" t="str">
        <x:v>Seed report fixtures + MockThreatQuery + MockNotificationPort + InMemoryAuditPort</x:v>
      </x:c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9" t="str">
        <x:v>K-WP14</x:v>
      </x:c>
      <x:c r="B32" s="39" t="str">
        <x:v>Khải</x:v>
      </x:c>
      <x:c r="C32" s="39" t="str">
        <x:v>M07</x:v>
      </x:c>
      <x:c r="D32" s="39" t="str">
        <x:v>Reporter Reputation &amp; Abuse Controls</x:v>
      </x:c>
      <x:c r="E32" s="39" t="str">
        <x:v>M07-F018, M07-F019, M07-F020, M07-F021, M07-F022, M07-F023, M07-F024</x:v>
      </x:c>
      <x:c r="F32" s="39" t="n">
        <x:v>0</x:v>
      </x:c>
      <x:c r="G32" s="39" t="n">
        <x:v>3</x:v>
      </x:c>
      <x:c r="H32" s="39" t="n">
        <x:v>4</x:v>
      </x:c>
      <x:c r="I32" s="39" t="n">
        <x:v>10</x:v>
      </x:c>
      <x:c r="J32" s="39" t="str">
        <x:v>Core</x:v>
      </x:c>
      <x:c r="K32" s="39" t="str">
        <x:v>Seed report fixtures + MockThreatQuery + MockNotificationPort + InMemoryAuditPort</x:v>
      </x:c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9" t="str">
        <x:v>K-WP15</x:v>
      </x:c>
      <x:c r="B33" s="39" t="str">
        <x:v>Khải</x:v>
      </x:c>
      <x:c r="C33" s="39" t="str">
        <x:v>M07</x:v>
      </x:c>
      <x:c r="D33" s="39" t="str">
        <x:v>Verified Report → Threat/Reputation Signal Bridge</x:v>
      </x:c>
      <x:c r="E33" s="39" t="str">
        <x:v>M07-F025, M07-F026</x:v>
      </x:c>
      <x:c r="F33" s="39" t="n">
        <x:v>2</x:v>
      </x:c>
      <x:c r="G33" s="39" t="n">
        <x:v>0</x:v>
      </x:c>
      <x:c r="H33" s="39" t="n">
        <x:v>0</x:v>
      </x:c>
      <x:c r="I33" s="39" t="n">
        <x:v>6</x:v>
      </x:c>
      <x:c r="J33" s="39" t="str">
        <x:v>Core</x:v>
      </x:c>
      <x:c r="K33" s="39" t="str">
        <x:v>Seed report fixtures + MockThreatQuery + MockNotificationPort + InMemoryAuditPort</x:v>
      </x:c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9" t="str">
        <x:v>I-WP01</x:v>
      </x:c>
      <x:c r="B34" s="39" t="str">
        <x:v>Kiên</x:v>
      </x:c>
      <x:c r="C34" s="39" t="str">
        <x:v>M08</x:v>
      </x:c>
      <x:c r="D34" s="39" t="str">
        <x:v>Threat Feed Ingestion &amp; Dataset Lifecycle</x:v>
      </x:c>
      <x:c r="E34" s="39" t="str">
        <x:v>M08-F001, M08-F002, M08-F003, M08-F004, M08-F005, M08-F006, M08-F007</x:v>
      </x:c>
      <x:c r="F34" s="39" t="n">
        <x:v>0</x:v>
      </x:c>
      <x:c r="G34" s="39" t="n">
        <x:v>4</x:v>
      </x:c>
      <x:c r="H34" s="39" t="n">
        <x:v>3</x:v>
      </x:c>
      <x:c r="I34" s="39" t="n">
        <x:v>11</x:v>
      </x:c>
      <x:c r="J34" s="39" t="str">
        <x:v>Core</x:v>
      </x:c>
      <x:c r="K34" s="39" t="str">
        <x:v>sample threat feeds + in-memory repository/cache adapter; core-only ThreatQuery contract</x:v>
      </x:c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9" t="str">
        <x:v>I-WP02</x:v>
      </x:c>
      <x:c r="B35" s="39" t="str">
        <x:v>Kiên</x:v>
      </x:c>
      <x:c r="C35" s="39" t="str">
        <x:v>M08</x:v>
      </x:c>
      <x:c r="D35" s="39" t="str">
        <x:v>Whitelist / Blacklist Administration</x:v>
      </x:c>
      <x:c r="E35" s="39" t="str">
        <x:v>M08-F008, M08-F009, M08-F010, M08-F011, M08-F012, M08-F013, M08-F014, M08-F015</x:v>
      </x:c>
      <x:c r="F35" s="39" t="n">
        <x:v>2</x:v>
      </x:c>
      <x:c r="G35" s="39" t="n">
        <x:v>4</x:v>
      </x:c>
      <x:c r="H35" s="39" t="n">
        <x:v>2</x:v>
      </x:c>
      <x:c r="I35" s="39" t="n">
        <x:v>16</x:v>
      </x:c>
      <x:c r="J35" s="39" t="str">
        <x:v>Core</x:v>
      </x:c>
      <x:c r="K35" s="39" t="str">
        <x:v>sample threat feeds + in-memory repository/cache adapter; core-only ThreatQuery contract</x:v>
      </x:c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9" t="str">
        <x:v>I-WP03</x:v>
      </x:c>
      <x:c r="B36" s="39" t="str">
        <x:v>Kiên</x:v>
      </x:c>
      <x:c r="C36" s="39" t="str">
        <x:v>M08</x:v>
      </x:c>
      <x:c r="D36" s="39" t="str">
        <x:v>Risk Entity Registry &amp; Evidence Consolidation</x:v>
      </x:c>
      <x:c r="E36" s="39" t="str">
        <x:v>M08-F016, M08-F017, M08-F018, M08-F019, M08-F020, M08-F021, M08-F022, M08-F023, M08-F024</x:v>
      </x:c>
      <x:c r="F36" s="39" t="n">
        <x:v>3</x:v>
      </x:c>
      <x:c r="G36" s="39" t="n">
        <x:v>3</x:v>
      </x:c>
      <x:c r="H36" s="39" t="n">
        <x:v>3</x:v>
      </x:c>
      <x:c r="I36" s="39" t="n">
        <x:v>18</x:v>
      </x:c>
      <x:c r="J36" s="39" t="str">
        <x:v>Core</x:v>
      </x:c>
      <x:c r="K36" s="39" t="str">
        <x:v>sample threat feeds + in-memory repository/cache adapter; core-only ThreatQuery contract</x:v>
      </x:c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9" t="str">
        <x:v>I-WP04</x:v>
      </x:c>
      <x:c r="B37" s="39" t="str">
        <x:v>Kiên</x:v>
      </x:c>
      <x:c r="C37" s="39" t="str">
        <x:v>M08</x:v>
      </x:c>
      <x:c r="D37" s="39" t="str">
        <x:v>Core ThreatQuery &amp; Deferred Reputation Enrichment</x:v>
      </x:c>
      <x:c r="E37" s="39" t="str">
        <x:v>M08-F025, M08-F026, M08-F027</x:v>
      </x:c>
      <x:c r="F37" s="39" t="n">
        <x:v>3</x:v>
      </x:c>
      <x:c r="G37" s="39" t="n">
        <x:v>0</x:v>
      </x:c>
      <x:c r="H37" s="39" t="n">
        <x:v>0</x:v>
      </x:c>
      <x:c r="I37" s="39" t="n">
        <x:v>9</x:v>
      </x:c>
      <x:c r="J37" s="39" t="str">
        <x:v>Core</x:v>
      </x:c>
      <x:c r="K37" s="39" t="str">
        <x:v>sample threat feeds + in-memory repository/cache adapter; core-only ThreatQuery contract</x:v>
      </x:c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9" t="str">
        <x:v>I-WP05</x:v>
      </x:c>
      <x:c r="B38" s="39" t="str">
        <x:v>Kiên</x:v>
      </x:c>
      <x:c r="C38" s="39" t="str">
        <x:v>M09</x:v>
      </x:c>
      <x:c r="D38" s="39" t="str">
        <x:v>Rule Evaluation Core &amp; Result Composition</x:v>
      </x:c>
      <x:c r="E38" s="39" t="str">
        <x:v>M09-F001, M09-F002, M09-F004, M09-F005, M09-F037</x:v>
      </x:c>
      <x:c r="F38" s="39" t="n">
        <x:v>5</x:v>
      </x:c>
      <x:c r="G38" s="39" t="n">
        <x:v>0</x:v>
      </x:c>
      <x:c r="H38" s="39" t="n">
        <x:v>0</x:v>
      </x:c>
      <x:c r="I38" s="39" t="n">
        <x:v>15</x:v>
      </x:c>
      <x:c r="J38" s="39" t="str">
        <x:v>Core</x:v>
      </x:c>
      <x:c r="K38" s="39" t="str">
        <x:v>UnifiedSignalSet fixtures + deterministic policy fixtures; expose RiskEvaluationPort</x:v>
      </x:c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9" t="str">
        <x:v>I-WP06</x:v>
      </x:c>
      <x:c r="B39" s="39" t="str">
        <x:v>Kiên</x:v>
      </x:c>
      <x:c r="C39" s="39" t="str">
        <x:v>M09</x:v>
      </x:c>
      <x:c r="D39" s="39" t="str">
        <x:v>Risk Fusion Policy, Thresholds &amp; Missing-Signal Handling</x:v>
      </x:c>
      <x:c r="E39" s="39" t="str">
        <x:v>M09-F003, M09-F006, M09-F007, M09-F008, M09-F038, M09-F039</x:v>
      </x:c>
      <x:c r="F39" s="39" t="n">
        <x:v>3</x:v>
      </x:c>
      <x:c r="G39" s="39" t="n">
        <x:v>2</x:v>
      </x:c>
      <x:c r="H39" s="39" t="n">
        <x:v>1</x:v>
      </x:c>
      <x:c r="I39" s="39" t="n">
        <x:v>14</x:v>
      </x:c>
      <x:c r="J39" s="39" t="str">
        <x:v>Core</x:v>
      </x:c>
      <x:c r="K39" s="39" t="str">
        <x:v>UnifiedSignalSet fixtures + deterministic policy fixtures; expose RiskEvaluationPort</x:v>
      </x:c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9" t="str">
        <x:v>I-WP07</x:v>
      </x:c>
      <x:c r="B40" s="39" t="str">
        <x:v>Kiên</x:v>
      </x:c>
      <x:c r="C40" s="39" t="str">
        <x:v>M09</x:v>
      </x:c>
      <x:c r="D40" s="39" t="str">
        <x:v>Rule Repository &amp; Admin Management</x:v>
      </x:c>
      <x:c r="E40" s="39" t="str">
        <x:v>M09-F009, M09-F010, M09-F011, M09-F012, M09-F013, M09-F014, M09-F015, M09-F016</x:v>
      </x:c>
      <x:c r="F40" s="39" t="n">
        <x:v>2</x:v>
      </x:c>
      <x:c r="G40" s="39" t="n">
        <x:v>4</x:v>
      </x:c>
      <x:c r="H40" s="39" t="n">
        <x:v>2</x:v>
      </x:c>
      <x:c r="I40" s="39" t="n">
        <x:v>16</x:v>
      </x:c>
      <x:c r="J40" s="39" t="str">
        <x:v>Core</x:v>
      </x:c>
      <x:c r="K40" s="39" t="str">
        <x:v>UnifiedSignalSet fixtures + deterministic policy fixtures; expose RiskEvaluationPort</x:v>
      </x:c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9" t="str">
        <x:v>I-WP08</x:v>
      </x:c>
      <x:c r="B41" s="39" t="str">
        <x:v>Kiên</x:v>
      </x:c>
      <x:c r="C41" s="39" t="str">
        <x:v>M09</x:v>
      </x:c>
      <x:c r="D41" s="39" t="str">
        <x:v>Rule Preview, Simulation &amp; Shadow Evaluation</x:v>
      </x:c>
      <x:c r="E41" s="39" t="str">
        <x:v>M09-F017, M09-F018, M09-F019, M09-F020, M09-F021, M09-F022</x:v>
      </x:c>
      <x:c r="F41" s="39" t="n">
        <x:v>0</x:v>
      </x:c>
      <x:c r="G41" s="39" t="n">
        <x:v>3</x:v>
      </x:c>
      <x:c r="H41" s="39" t="n">
        <x:v>3</x:v>
      </x:c>
      <x:c r="I41" s="39" t="n">
        <x:v>9</x:v>
      </x:c>
      <x:c r="J41" s="39" t="str">
        <x:v>Core</x:v>
      </x:c>
      <x:c r="K41" s="39" t="str">
        <x:v>UnifiedSignalSet fixtures + deterministic policy fixtures; expose RiskEvaluationPort</x:v>
      </x:c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9" t="str">
        <x:v>I-WP09</x:v>
      </x:c>
      <x:c r="B42" s="39" t="str">
        <x:v>Kiên</x:v>
      </x:c>
      <x:c r="C42" s="39" t="str">
        <x:v>M09</x:v>
      </x:c>
      <x:c r="D42" s="39" t="str">
        <x:v>Rule Versioning, History &amp; Rollback</x:v>
      </x:c>
      <x:c r="E42" s="39" t="str">
        <x:v>M09-F023, M09-F024, M09-F025, M09-F026, M09-F027, M09-F028</x:v>
      </x:c>
      <x:c r="F42" s="39" t="n">
        <x:v>0</x:v>
      </x:c>
      <x:c r="G42" s="39" t="n">
        <x:v>3</x:v>
      </x:c>
      <x:c r="H42" s="39" t="n">
        <x:v>3</x:v>
      </x:c>
      <x:c r="I42" s="39" t="n">
        <x:v>9</x:v>
      </x:c>
      <x:c r="J42" s="39" t="str">
        <x:v>Core</x:v>
      </x:c>
      <x:c r="K42" s="39" t="str">
        <x:v>UnifiedSignalSet fixtures + deterministic policy fixtures; expose RiskEvaluationPort</x:v>
      </x:c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9" t="str">
        <x:v>I-WP10</x:v>
      </x:c>
      <x:c r="B43" s="39" t="str">
        <x:v>Kiên</x:v>
      </x:c>
      <x:c r="C43" s="39" t="str">
        <x:v>M09</x:v>
      </x:c>
      <x:c r="D43" s="39" t="str">
        <x:v>Risk &amp; Scam Operations Analytics</x:v>
      </x:c>
      <x:c r="E43" s="39" t="str">
        <x:v>M09-F029, M09-F030, M09-F031, M09-F032, M09-F033, M09-F034, M09-F035, M09-F036</x:v>
      </x:c>
      <x:c r="F43" s="39" t="n">
        <x:v>0</x:v>
      </x:c>
      <x:c r="G43" s="39" t="n">
        <x:v>5</x:v>
      </x:c>
      <x:c r="H43" s="39" t="n">
        <x:v>3</x:v>
      </x:c>
      <x:c r="I43" s="39" t="n">
        <x:v>13</x:v>
      </x:c>
      <x:c r="J43" s="39" t="str">
        <x:v>Core</x:v>
      </x:c>
      <x:c r="K43" s="39" t="str">
        <x:v>UnifiedSignalSet fixtures + deterministic policy fixtures; expose RiskEvaluationPort</x:v>
      </x:c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9" t="str">
        <x:v>I-WP11</x:v>
      </x:c>
      <x:c r="B44" s="39" t="str">
        <x:v>Kiên</x:v>
      </x:c>
      <x:c r="C44" s="39" t="str">
        <x:v>M12</x:v>
      </x:c>
      <x:c r="D44" s="39" t="str">
        <x:v>Request Controls, Authorization &amp; Scan Dispatch</x:v>
      </x:c>
      <x:c r="E44" s="39" t="str">
        <x:v>M12-F001, M12-F002, M12-F003, M12-F004, M12-F018, M12-F019</x:v>
      </x:c>
      <x:c r="F44" s="39" t="n">
        <x:v>5</x:v>
      </x:c>
      <x:c r="G44" s="39" t="n">
        <x:v>1</x:v>
      </x:c>
      <x:c r="H44" s="39" t="n">
        <x:v>0</x:v>
      </x:c>
      <x:c r="I44" s="39" t="n">
        <x:v>17</x:v>
      </x:c>
      <x:c r="J44" s="39" t="str">
        <x:v>Core</x:v>
      </x:c>
      <x:c r="K44" s="39" t="str">
        <x:v>FakeMessageBus + worker/AI/nested-scan/race fixtures + in-memory repositories</x:v>
      </x:c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9" t="str">
        <x:v>I-WP12</x:v>
      </x:c>
      <x:c r="B45" s="39" t="str">
        <x:v>Kiên</x:v>
      </x:c>
      <x:c r="C45" s="39" t="str">
        <x:v>M12</x:v>
      </x:c>
      <x:c r="D45" s="39" t="str">
        <x:v>Scan Lifecycle, Event Envelope, Retry &amp; Idempotency</x:v>
      </x:c>
      <x:c r="E45" s="39" t="str">
        <x:v>M12-F005, M12-F006, M12-F007, M12-F008, M12-F012</x:v>
      </x:c>
      <x:c r="F45" s="39" t="n">
        <x:v>5</x:v>
      </x:c>
      <x:c r="G45" s="39" t="n">
        <x:v>0</x:v>
      </x:c>
      <x:c r="H45" s="39" t="n">
        <x:v>0</x:v>
      </x:c>
      <x:c r="I45" s="39" t="n">
        <x:v>15</x:v>
      </x:c>
      <x:c r="J45" s="39" t="str">
        <x:v>Core</x:v>
      </x:c>
      <x:c r="K45" s="39" t="str">
        <x:v>FakeMessageBus + worker/AI/nested-scan/race fixtures + in-memory repositories</x:v>
      </x:c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9" t="str">
        <x:v>I-WP13</x:v>
      </x:c>
      <x:c r="B46" s="39" t="str">
        <x:v>Kiên</x:v>
      </x:c>
      <x:c r="C46" s="39" t="str">
        <x:v>M12</x:v>
      </x:c>
      <x:c r="D46" s="39" t="str">
        <x:v>Nested Scan Orchestration &amp; Derived Indicators</x:v>
      </x:c>
      <x:c r="E46" s="39" t="str">
        <x:v>M12-F009, M12-F010, M12-F011, M12-F017</x:v>
      </x:c>
      <x:c r="F46" s="39" t="n">
        <x:v>4</x:v>
      </x:c>
      <x:c r="G46" s="39" t="n">
        <x:v>0</x:v>
      </x:c>
      <x:c r="H46" s="39" t="n">
        <x:v>0</x:v>
      </x:c>
      <x:c r="I46" s="39" t="n">
        <x:v>12</x:v>
      </x:c>
      <x:c r="J46" s="39" t="str">
        <x:v>Core</x:v>
      </x:c>
      <x:c r="K46" s="39" t="str">
        <x:v>FakeMessageBus + worker/AI/nested-scan/race fixtures + in-memory repositories</x:v>
      </x:c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9" t="str">
        <x:v>I-WP14</x:v>
      </x:c>
      <x:c r="B47" s="39" t="str">
        <x:v>Kiên</x:v>
      </x:c>
      <x:c r="C47" s="39" t="str">
        <x:v>M12</x:v>
      </x:c>
      <x:c r="D47" s="39" t="str">
        <x:v>AI Task Barrier, Deadline &amp; Race Handling</x:v>
      </x:c>
      <x:c r="E47" s="39" t="str">
        <x:v>M12-F013, M12-F014, M12-F015, M12-F016</x:v>
      </x:c>
      <x:c r="F47" s="39" t="n">
        <x:v>4</x:v>
      </x:c>
      <x:c r="G47" s="39" t="n">
        <x:v>0</x:v>
      </x:c>
      <x:c r="H47" s="39" t="n">
        <x:v>0</x:v>
      </x:c>
      <x:c r="I47" s="39" t="n">
        <x:v>12</x:v>
      </x:c>
      <x:c r="J47" s="39" t="str">
        <x:v>Core</x:v>
      </x:c>
      <x:c r="K47" s="39" t="str">
        <x:v>FakeMessageBus + worker/AI/nested-scan/race fixtures + in-memory repositories</x:v>
      </x:c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9" t="str">
        <x:v>I-WP15</x:v>
      </x:c>
      <x:c r="B48" s="39" t="str">
        <x:v>Kiên</x:v>
      </x:c>
      <x:c r="C48" s="39" t="str">
        <x:v>M14</x:v>
      </x:c>
      <x:c r="D48" s="39" t="str">
        <x:v>Security &amp; Business Audit Capture</x:v>
      </x:c>
      <x:c r="E48" s="39" t="str">
        <x:v>M14-F001, M14-F002, M14-F003, M14-F011</x:v>
      </x:c>
      <x:c r="F48" s="39" t="n">
        <x:v>4</x:v>
      </x:c>
      <x:c r="G48" s="39" t="n">
        <x:v>0</x:v>
      </x:c>
      <x:c r="H48" s="39" t="n">
        <x:v>0</x:v>
      </x:c>
      <x:c r="I48" s="39" t="n">
        <x:v>12</x:v>
      </x:c>
      <x:c r="J48" s="39" t="str">
        <x:v>Core</x:v>
      </x:c>
      <x:c r="K48" s="39" t="str">
        <x:v>InMemoryAuditPort + mock admin/security events + correlation fixtures</x:v>
      </x:c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9" t="str">
        <x:v>I-WP16</x:v>
      </x:c>
      <x:c r="B49" s="39" t="str">
        <x:v>Kiên</x:v>
      </x:c>
      <x:c r="C49" s="39" t="str">
        <x:v>M14</x:v>
      </x:c>
      <x:c r="D49" s="39" t="str">
        <x:v>Cross-Pipeline Correlation &amp; Failure Trace</x:v>
      </x:c>
      <x:c r="E49" s="39" t="str">
        <x:v>M14-F008, M14-F009</x:v>
      </x:c>
      <x:c r="F49" s="39" t="n">
        <x:v>1</x:v>
      </x:c>
      <x:c r="G49" s="39" t="n">
        <x:v>1</x:v>
      </x:c>
      <x:c r="H49" s="39" t="n">
        <x:v>0</x:v>
      </x:c>
      <x:c r="I49" s="39" t="n">
        <x:v>5</x:v>
      </x:c>
      <x:c r="J49" s="39" t="str">
        <x:v>Core</x:v>
      </x:c>
      <x:c r="K49" s="39" t="str">
        <x:v>InMemoryAuditPort + mock admin/security events + correlation fixtures</x:v>
      </x:c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9" t="str">
        <x:v>I-WP17</x:v>
      </x:c>
      <x:c r="B50" s="39" t="str">
        <x:v>Kiên</x:v>
      </x:c>
      <x:c r="C50" s="39" t="str">
        <x:v>M14</x:v>
      </x:c>
      <x:c r="D50" s="39" t="str">
        <x:v>Audit Query, Operations UI &amp; Investigation</x:v>
      </x:c>
      <x:c r="E50" s="39" t="str">
        <x:v>M14-F004, M14-F005, M14-F006, M14-F007, M14-F010</x:v>
      </x:c>
      <x:c r="F50" s="39" t="n">
        <x:v>0</x:v>
      </x:c>
      <x:c r="G50" s="39" t="n">
        <x:v>3</x:v>
      </x:c>
      <x:c r="H50" s="39" t="n">
        <x:v>2</x:v>
      </x:c>
      <x:c r="I50" s="39" t="n">
        <x:v>8</x:v>
      </x:c>
      <x:c r="J50" s="39" t="str">
        <x:v>Core</x:v>
      </x:c>
      <x:c r="K50" s="39" t="str">
        <x:v>InMemoryAuditPort + mock admin/security events + correlation fixtures</x:v>
      </x:c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9" t="str">
        <x:v>T-WP01</x:v>
      </x:c>
      <x:c r="B51" s="39" t="str">
        <x:v>Thắng</x:v>
      </x:c>
      <x:c r="C51" s="39" t="str">
        <x:v>M03</x:v>
      </x:c>
      <x:c r="D51" s="39" t="str">
        <x:v>Vietnamese Text Normalization &amp; Evasion Handling</x:v>
      </x:c>
      <x:c r="E51" s="39" t="str">
        <x:v>M03-F001, M03-F002, M03-F003, M03-F004, M03-F005, M03-F006, M03-F007</x:v>
      </x:c>
      <x:c r="F51" s="39" t="n">
        <x:v>3</x:v>
      </x:c>
      <x:c r="G51" s="39" t="n">
        <x:v>2</x:v>
      </x:c>
      <x:c r="H51" s="39" t="n">
        <x:v>2</x:v>
      </x:c>
      <x:c r="I51" s="39" t="n">
        <x:v>15</x:v>
      </x:c>
      <x:c r="J51" s="39" t="str">
        <x:v>Core</x:v>
      </x:c>
      <x:c r="K51" s="39" t="str">
        <x:v>FakeMessageBus + text/AI/derived-indicator fixtures + MockRiskEvaluationPort</x:v>
      </x:c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9" t="str">
        <x:v>T-WP02</x:v>
      </x:c>
      <x:c r="B52" s="39" t="str">
        <x:v>Thắng</x:v>
      </x:c>
      <x:c r="C52" s="39" t="str">
        <x:v>M03</x:v>
      </x:c>
      <x:c r="D52" s="39" t="str">
        <x:v>Async Text Scan, Scam Patterns &amp; User Result UX</x:v>
      </x:c>
      <x:c r="E52" s="39" t="str">
        <x:v>M03-F008, M03-F009, M03-F010, M03-F011, M03-F012, M03-F013, M03-F014, M03-F015</x:v>
      </x:c>
      <x:c r="F52" s="39" t="n">
        <x:v>4</x:v>
      </x:c>
      <x:c r="G52" s="39" t="n">
        <x:v>2</x:v>
      </x:c>
      <x:c r="H52" s="39" t="n">
        <x:v>2</x:v>
      </x:c>
      <x:c r="I52" s="39" t="n">
        <x:v>18</x:v>
      </x:c>
      <x:c r="J52" s="39" t="str">
        <x:v>Core</x:v>
      </x:c>
      <x:c r="K52" s="39" t="str">
        <x:v>FakeMessageBus + text/AI/derived-indicator fixtures + MockRiskEvaluationPort</x:v>
      </x:c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9" t="str">
        <x:v>T-WP03</x:v>
      </x:c>
      <x:c r="B53" s="39" t="str">
        <x:v>Thắng</x:v>
      </x:c>
      <x:c r="C53" s="39" t="str">
        <x:v>M03</x:v>
      </x:c>
      <x:c r="D53" s="39" t="str">
        <x:v>Entity Extraction from Text</x:v>
      </x:c>
      <x:c r="E53" s="39" t="str">
        <x:v>M03-F016, M03-F017, M03-F018, M03-F019, M03-F020, M03-F021, M03-F022, M03-F023</x:v>
      </x:c>
      <x:c r="F53" s="39" t="n">
        <x:v>5</x:v>
      </x:c>
      <x:c r="G53" s="39" t="n">
        <x:v>2</x:v>
      </x:c>
      <x:c r="H53" s="39" t="n">
        <x:v>1</x:v>
      </x:c>
      <x:c r="I53" s="39" t="n">
        <x:v>20</x:v>
      </x:c>
      <x:c r="J53" s="39" t="str">
        <x:v>Core</x:v>
      </x:c>
      <x:c r="K53" s="39" t="str">
        <x:v>FakeMessageBus + text/AI/derived-indicator fixtures + MockRiskEvaluationPort</x:v>
      </x:c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9" t="str">
        <x:v>T-WP04</x:v>
      </x:c>
      <x:c r="B54" s="39" t="str">
        <x:v>Thắng</x:v>
      </x:c>
      <x:c r="C54" s="39" t="str">
        <x:v>M03</x:v>
      </x:c>
      <x:c r="D54" s="39" t="str">
        <x:v>Scam Taxonomy &amp; User-facing Classification</x:v>
      </x:c>
      <x:c r="E54" s="39" t="str">
        <x:v>M03-F024, M03-F025, M03-F026, M03-F027, M03-F028, M03-F029, M03-F030</x:v>
      </x:c>
      <x:c r="F54" s="39" t="n">
        <x:v>1</x:v>
      </x:c>
      <x:c r="G54" s="39" t="n">
        <x:v>3</x:v>
      </x:c>
      <x:c r="H54" s="39" t="n">
        <x:v>3</x:v>
      </x:c>
      <x:c r="I54" s="39" t="n">
        <x:v>12</x:v>
      </x:c>
      <x:c r="J54" s="39" t="str">
        <x:v>Core</x:v>
      </x:c>
      <x:c r="K54" s="39" t="str">
        <x:v>FakeMessageBus + text/AI/derived-indicator fixtures + MockRiskEvaluationPort</x:v>
      </x:c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9" t="str">
        <x:v>T-WP05</x:v>
      </x:c>
      <x:c r="B55" s="39" t="str">
        <x:v>Thắng</x:v>
      </x:c>
      <x:c r="C55" s="39" t="str">
        <x:v>M03</x:v>
      </x:c>
      <x:c r="D55" s="39" t="str">
        <x:v>Keyword Dictionary Administration</x:v>
      </x:c>
      <x:c r="E55" s="39" t="str">
        <x:v>M03-F031, M03-F032, M03-F033, M03-F034, M03-F035, M03-F036, M03-F037</x:v>
      </x:c>
      <x:c r="F55" s="39" t="n">
        <x:v>1</x:v>
      </x:c>
      <x:c r="G55" s="39" t="n">
        <x:v>3</x:v>
      </x:c>
      <x:c r="H55" s="39" t="n">
        <x:v>3</x:v>
      </x:c>
      <x:c r="I55" s="39" t="n">
        <x:v>12</x:v>
      </x:c>
      <x:c r="J55" s="39" t="str">
        <x:v>Core</x:v>
      </x:c>
      <x:c r="K55" s="39" t="str">
        <x:v>FakeMessageBus + text/AI/derived-indicator fixtures + MockRiskEvaluationPort</x:v>
      </x:c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9" t="str">
        <x:v>T-WP06</x:v>
      </x:c>
      <x:c r="B56" s="39" t="str">
        <x:v>Thắng</x:v>
      </x:c>
      <x:c r="C56" s="39" t="str">
        <x:v>M03</x:v>
      </x:c>
      <x:c r="D56" s="39" t="str">
        <x:v>Multi-turn Conversation Analysis</x:v>
      </x:c>
      <x:c r="E56" s="39" t="str">
        <x:v>M03-F038, M03-F039, M03-F040, M03-F041, M03-F042, M03-F043</x:v>
      </x:c>
      <x:c r="F56" s="39" t="n">
        <x:v>0</x:v>
      </x:c>
      <x:c r="G56" s="39" t="n">
        <x:v>3</x:v>
      </x:c>
      <x:c r="H56" s="39" t="n">
        <x:v>3</x:v>
      </x:c>
      <x:c r="I56" s="39" t="n">
        <x:v>9</x:v>
      </x:c>
      <x:c r="J56" s="39" t="str">
        <x:v>Core</x:v>
      </x:c>
      <x:c r="K56" s="39" t="str">
        <x:v>FakeMessageBus + text/AI/derived-indicator fixtures + MockRiskEvaluationPort</x:v>
      </x:c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9" t="str">
        <x:v>T-WP07</x:v>
      </x:c>
      <x:c r="B57" s="39" t="str">
        <x:v>Thắng</x:v>
      </x:c>
      <x:c r="C57" s="39" t="str">
        <x:v>M03</x:v>
      </x:c>
      <x:c r="D57" s="39" t="str">
        <x:v>Text Input Privacy &amp; Worker Contract</x:v>
      </x:c>
      <x:c r="E57" s="39" t="str">
        <x:v>M03-F044, M03-F045, M03-F046, M03-F047, M03-F048</x:v>
      </x:c>
      <x:c r="F57" s="39" t="n">
        <x:v>4</x:v>
      </x:c>
      <x:c r="G57" s="39" t="n">
        <x:v>1</x:v>
      </x:c>
      <x:c r="H57" s="39" t="n">
        <x:v>0</x:v>
      </x:c>
      <x:c r="I57" s="39" t="n">
        <x:v>14</x:v>
      </x:c>
      <x:c r="J57" s="39" t="str">
        <x:v>Core</x:v>
      </x:c>
      <x:c r="K57" s="39" t="str">
        <x:v>FakeMessageBus + text/AI/derived-indicator fixtures + MockRiskEvaluationPort</x:v>
      </x:c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9" t="str">
        <x:v>T-WP08</x:v>
      </x:c>
      <x:c r="B58" s="39" t="str">
        <x:v>Thắng</x:v>
      </x:c>
      <x:c r="C58" s="39" t="str">
        <x:v>M05</x:v>
      </x:c>
      <x:c r="D58" s="39" t="str">
        <x:v>QR/VietQR Decode, Classification &amp; Nested Routing</x:v>
      </x:c>
      <x:c r="E58" s="39" t="str">
        <x:v>M05-F001, M05-F002, M05-F003, M05-F004, M05-F005, M05-F006, M05-F009, M05-F010</x:v>
      </x:c>
      <x:c r="F58" s="39" t="n">
        <x:v>7</x:v>
      </x:c>
      <x:c r="G58" s="39" t="n">
        <x:v>1</x:v>
      </x:c>
      <x:c r="H58" s="39" t="n">
        <x:v>0</x:v>
      </x:c>
      <x:c r="I58" s="39" t="n">
        <x:v>23</x:v>
      </x:c>
      <x:c r="J58" s="39" t="str">
        <x:v>Core</x:v>
      </x:c>
      <x:c r="K58" s="39" t="str">
        <x:v>QR fixtures + fake scan-platform/child-scan adapter; SSRF handled by M02 contract</x:v>
      </x:c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9" t="str">
        <x:v>T-WP09</x:v>
      </x:c>
      <x:c r="B59" s="39" t="str">
        <x:v>Thắng</x:v>
      </x:c>
      <x:c r="C59" s="39" t="str">
        <x:v>M05</x:v>
      </x:c>
      <x:c r="D59" s="39" t="str">
        <x:v>Advanced QR Safety Checks</x:v>
      </x:c>
      <x:c r="E59" s="39" t="str">
        <x:v>M05-F007, M05-F008</x:v>
      </x:c>
      <x:c r="F59" s="39" t="n">
        <x:v>0</x:v>
      </x:c>
      <x:c r="G59" s="39" t="n">
        <x:v>0</x:v>
      </x:c>
      <x:c r="H59" s="39" t="n">
        <x:v>2</x:v>
      </x:c>
      <x:c r="I59" s="39" t="n">
        <x:v>2</x:v>
      </x:c>
      <x:c r="J59" s="39" t="str">
        <x:v>Core</x:v>
      </x:c>
      <x:c r="K59" s="39" t="str">
        <x:v>QR fixtures + fake scan-platform/child-scan adapter; SSRF handled by M02 contract</x:v>
      </x:c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9" t="str">
        <x:v>T-WP10</x:v>
      </x:c>
      <x:c r="B60" s="39" t="str">
        <x:v>Thắng</x:v>
      </x:c>
      <x:c r="C60" s="39" t="str">
        <x:v>M06</x:v>
      </x:c>
      <x:c r="D60" s="39" t="str">
        <x:v>History Query, Access Control &amp; Pagination</x:v>
      </x:c>
      <x:c r="E60" s="39" t="str">
        <x:v>M06-F003, M06-F004, M06-F005, M06-F006</x:v>
      </x:c>
      <x:c r="F60" s="39" t="n">
        <x:v>3</x:v>
      </x:c>
      <x:c r="G60" s="39" t="n">
        <x:v>1</x:v>
      </x:c>
      <x:c r="H60" s="39" t="n">
        <x:v>0</x:v>
      </x:c>
      <x:c r="I60" s="39" t="n">
        <x:v>11</x:v>
      </x:c>
      <x:c r="J60" s="39" t="str">
        <x:v>Core</x:v>
      </x:c>
      <x:c r="K60" s="39" t="str">
        <x:v>RiskResult/history fixtures + mock object storage/export event + MockNotificationPort</x:v>
      </x:c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9" t="str">
        <x:v>T-WP11</x:v>
      </x:c>
      <x:c r="B61" s="39" t="str">
        <x:v>Thắng</x:v>
      </x:c>
      <x:c r="C61" s="39" t="str">
        <x:v>M06</x:v>
      </x:c>
      <x:c r="D61" s="39" t="str">
        <x:v>History Retention &amp; User Management</x:v>
      </x:c>
      <x:c r="E61" s="39" t="str">
        <x:v>M06-F001, M06-F002, M06-F007, M06-F008, M06-F009, M06-F010</x:v>
      </x:c>
      <x:c r="F61" s="39" t="n">
        <x:v>1</x:v>
      </x:c>
      <x:c r="G61" s="39" t="n">
        <x:v>3</x:v>
      </x:c>
      <x:c r="H61" s="39" t="n">
        <x:v>2</x:v>
      </x:c>
      <x:c r="I61" s="39" t="n">
        <x:v>11</x:v>
      </x:c>
      <x:c r="J61" s="39" t="str">
        <x:v>Core</x:v>
      </x:c>
      <x:c r="K61" s="39" t="str">
        <x:v>RiskResult/history fixtures + mock object storage/export event + MockNotificationPort</x:v>
      </x:c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9" t="str">
        <x:v>T-WP12</x:v>
      </x:c>
      <x:c r="B62" s="39" t="str">
        <x:v>Thắng</x:v>
      </x:c>
      <x:c r="C62" s="39" t="str">
        <x:v>M06</x:v>
      </x:c>
      <x:c r="D62" s="39" t="str">
        <x:v>RiskResult Contract &amp; Presentation Components</x:v>
      </x:c>
      <x:c r="E62" s="39" t="str">
        <x:v>M06-F011, M06-F012, M06-F013, M06-F014, M06-F020</x:v>
      </x:c>
      <x:c r="F62" s="39" t="n">
        <x:v>3</x:v>
      </x:c>
      <x:c r="G62" s="39" t="n">
        <x:v>2</x:v>
      </x:c>
      <x:c r="H62" s="39" t="n">
        <x:v>0</x:v>
      </x:c>
      <x:c r="I62" s="39" t="n">
        <x:v>13</x:v>
      </x:c>
      <x:c r="J62" s="39" t="str">
        <x:v>Core</x:v>
      </x:c>
      <x:c r="K62" s="39" t="str">
        <x:v>RiskResult/history fixtures + mock object storage/export event + MockNotificationPort</x:v>
      </x:c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9" t="str">
        <x:v>T-WP13</x:v>
      </x:c>
      <x:c r="B63" s="39" t="str">
        <x:v>Thắng</x:v>
      </x:c>
      <x:c r="C63" s="39" t="str">
        <x:v>M06</x:v>
      </x:c>
      <x:c r="D63" s="39" t="str">
        <x:v>Result Sharing &amp; External Consumption</x:v>
      </x:c>
      <x:c r="E63" s="39" t="str">
        <x:v>M06-F015, M06-F017, M06-F018</x:v>
      </x:c>
      <x:c r="F63" s="39" t="n">
        <x:v>0</x:v>
      </x:c>
      <x:c r="G63" s="39" t="n">
        <x:v>1</x:v>
      </x:c>
      <x:c r="H63" s="39" t="n">
        <x:v>2</x:v>
      </x:c>
      <x:c r="I63" s="39" t="n">
        <x:v>4</x:v>
      </x:c>
      <x:c r="J63" s="39" t="str">
        <x:v>Core</x:v>
      </x:c>
      <x:c r="K63" s="39" t="str">
        <x:v>RiskResult/history fixtures + mock object storage/export event + MockNotificationPort</x:v>
      </x:c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9" t="str">
        <x:v>T-WP14</x:v>
      </x:c>
      <x:c r="B64" s="39" t="str">
        <x:v>Thắng</x:v>
      </x:c>
      <x:c r="C64" s="39" t="str">
        <x:v>M06</x:v>
      </x:c>
      <x:c r="D64" s="39" t="str">
        <x:v>Async Export &amp; Admin Reporting</x:v>
      </x:c>
      <x:c r="E64" s="39" t="str">
        <x:v>M06-F016, M06-F019, M06-F021</x:v>
      </x:c>
      <x:c r="F64" s="39" t="n">
        <x:v>0</x:v>
      </x:c>
      <x:c r="G64" s="39" t="n">
        <x:v>2</x:v>
      </x:c>
      <x:c r="H64" s="39" t="n">
        <x:v>1</x:v>
      </x:c>
      <x:c r="I64" s="39" t="n">
        <x:v>5</x:v>
      </x:c>
      <x:c r="J64" s="39" t="str">
        <x:v>Core</x:v>
      </x:c>
      <x:c r="K64" s="39" t="str">
        <x:v>RiskResult/history fixtures + mock object storage/export event + MockNotificationPort</x:v>
      </x:c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9" t="str">
        <x:v>T-WP15</x:v>
      </x:c>
      <x:c r="B65" s="39" t="str">
        <x:v>Thắng</x:v>
      </x:c>
      <x:c r="C65" s="39" t="str">
        <x:v>M11</x:v>
      </x:c>
      <x:c r="D65" s="39" t="str">
        <x:v>AI Task/Result Contract &amp; Worker Core</x:v>
      </x:c>
      <x:c r="E65" s="39" t="str">
        <x:v>M11-F001, M11-F002, M11-F003, M11-F004, M11-F005, M11-F006, M11-F017, M11-F018</x:v>
      </x:c>
      <x:c r="F65" s="39" t="n">
        <x:v>5</x:v>
      </x:c>
      <x:c r="G65" s="39" t="n">
        <x:v>3</x:v>
      </x:c>
      <x:c r="H65" s="39" t="n">
        <x:v>0</x:v>
      </x:c>
      <x:c r="I65" s="39" t="n">
        <x:v>21</x:v>
      </x:c>
      <x:c r="J65" s="39" t="str">
        <x:v>Core</x:v>
      </x:c>
      <x:c r="K65" s="39" t="str">
        <x:v>FakeMessageBus + ai request/result fixtures + mock provider adapters</x:v>
      </x:c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9" t="str">
        <x:v>T-WP16</x:v>
      </x:c>
      <x:c r="B66" s="39" t="str">
        <x:v>Thắng</x:v>
      </x:c>
      <x:c r="C66" s="39" t="str">
        <x:v>M11</x:v>
      </x:c>
      <x:c r="D66" s="39" t="str">
        <x:v>AI Provider Resolver &amp; Adapter Registry</x:v>
      </x:c>
      <x:c r="E66" s="39" t="str">
        <x:v>M11-F009, M11-F019, M11-F020</x:v>
      </x:c>
      <x:c r="F66" s="39" t="n">
        <x:v>1</x:v>
      </x:c>
      <x:c r="G66" s="39" t="n">
        <x:v>1</x:v>
      </x:c>
      <x:c r="H66" s="39" t="n">
        <x:v>1</x:v>
      </x:c>
      <x:c r="I66" s="39" t="n">
        <x:v>6</x:v>
      </x:c>
      <x:c r="J66" s="39" t="str">
        <x:v>Core</x:v>
      </x:c>
      <x:c r="K66" s="39" t="str">
        <x:v>FakeMessageBus + ai request/result fixtures + mock provider adapters</x:v>
      </x:c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9" t="str">
        <x:v>T-WP17</x:v>
      </x:c>
      <x:c r="B67" s="39" t="str">
        <x:v>Thắng</x:v>
      </x:c>
      <x:c r="C67" s="39" t="str">
        <x:v>M11</x:v>
      </x:c>
      <x:c r="D67" s="39" t="str">
        <x:v>AI Safety, Prompt/Output Guardrails &amp; Cache Options</x:v>
      </x:c>
      <x:c r="E67" s="39" t="str">
        <x:v>M11-F007, M11-F008</x:v>
      </x:c>
      <x:c r="F67" s="39" t="n">
        <x:v>0</x:v>
      </x:c>
      <x:c r="G67" s="39" t="n">
        <x:v>0</x:v>
      </x:c>
      <x:c r="H67" s="39" t="n">
        <x:v>2</x:v>
      </x:c>
      <x:c r="I67" s="39" t="n">
        <x:v>2</x:v>
      </x:c>
      <x:c r="J67" s="39" t="str">
        <x:v>Core</x:v>
      </x:c>
      <x:c r="K67" s="39" t="str">
        <x:v>FakeMessageBus + ai request/result fixtures + mock provider adapters</x:v>
      </x:c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9" t="str">
        <x:v>T-WP18</x:v>
      </x:c>
      <x:c r="B68" s="39" t="str">
        <x:v>Thắng</x:v>
      </x:c>
      <x:c r="C68" s="39" t="str">
        <x:v>M11</x:v>
      </x:c>
      <x:c r="D68" s="39" t="str">
        <x:v>AI Evaluation Dataset, Metrics &amp; Calibration</x:v>
      </x:c>
      <x:c r="E68" s="39" t="str">
        <x:v>M11-F010, M11-F011, M11-F012, M11-F013, M11-F014, M11-F015, M11-F016</x:v>
      </x:c>
      <x:c r="F68" s="39" t="n">
        <x:v>1</x:v>
      </x:c>
      <x:c r="G68" s="39" t="n">
        <x:v>3</x:v>
      </x:c>
      <x:c r="H68" s="39" t="n">
        <x:v>3</x:v>
      </x:c>
      <x:c r="I68" s="39" t="n">
        <x:v>12</x:v>
      </x:c>
      <x:c r="J68" s="39" t="str">
        <x:v>Core</x:v>
      </x:c>
      <x:c r="K68" s="39" t="str">
        <x:v>FakeMessageBus + ai request/result fixtures + mock provider adapters</x:v>
      </x:c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9" t="str">
        <x:v>H-FWP01</x:v>
      </x:c>
      <x:c r="B69" s="39" t="str">
        <x:v>Hùng</x:v>
      </x:c>
      <x:c r="C69" s="39" t="str">
        <x:v>FUTURE</x:v>
      </x:c>
      <x:c r="D69" s="39" t="str">
        <x:v>Future Entitlements, Plans &amp; Subscription Boundary</x:v>
      </x:c>
      <x:c r="E69" s="39" t="str">
        <x:v>FUTURE-F025, FUTURE-F026, FUTURE-F027, FUTURE-F028</x:v>
      </x:c>
      <x:c r="F69" s="39" t="n">
        <x:v>0</x:v>
      </x:c>
      <x:c r="G69" s="39" t="n">
        <x:v>0</x:v>
      </x:c>
      <x:c r="H69" s="39" t="n">
        <x:v>4</x:v>
      </x:c>
      <x:c r="I69" s="39" t="n">
        <x:v>4</x:v>
      </x:c>
      <x:c r="J69" s="39" t="str">
        <x:v>Future</x:v>
      </x:c>
      <x:c r="K69" s="39" t="str">
        <x:v>Build against current public ports/fixtures; must not change MVP contracts until promoted</x:v>
      </x:c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9" t="str">
        <x:v>H-FWP02</x:v>
      </x:c>
      <x:c r="B70" s="39" t="str">
        <x:v>Hùng</x:v>
      </x:c>
      <x:c r="C70" s="39" t="str">
        <x:v>FUTURE</x:v>
      </x:c>
      <x:c r="D70" s="39" t="str">
        <x:v>Future Usage, Credit Ledger &amp; API Credentials</x:v>
      </x:c>
      <x:c r="E70" s="39" t="str">
        <x:v>FUTURE-F029, FUTURE-F030, FUTURE-F031, FUTURE-F032, FUTURE-F033</x:v>
      </x:c>
      <x:c r="F70" s="39" t="n">
        <x:v>0</x:v>
      </x:c>
      <x:c r="G70" s="39" t="n">
        <x:v>0</x:v>
      </x:c>
      <x:c r="H70" s="39" t="n">
        <x:v>5</x:v>
      </x:c>
      <x:c r="I70" s="39" t="n">
        <x:v>5</x:v>
      </x:c>
      <x:c r="J70" s="39" t="str">
        <x:v>Future</x:v>
      </x:c>
      <x:c r="K70" s="39" t="str">
        <x:v>Build against current public ports/fixtures; must not change MVP contracts until promoted</x:v>
      </x:c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9" t="str">
        <x:v>K-FWP01</x:v>
      </x:c>
      <x:c r="B71" s="39" t="str">
        <x:v>Khải</x:v>
      </x:c>
      <x:c r="C71" s="39" t="str">
        <x:v>FUTURE</x:v>
      </x:c>
      <x:c r="D71" s="39" t="str">
        <x:v>Browser Extension Protection Surface</x:v>
      </x:c>
      <x:c r="E71" s="39" t="str">
        <x:v>FUTURE-F001, FUTURE-F002, FUTURE-F003, FUTURE-F004, FUTURE-F005, FUTURE-F006</x:v>
      </x:c>
      <x:c r="F71" s="39" t="n">
        <x:v>0</x:v>
      </x:c>
      <x:c r="G71" s="39" t="n">
        <x:v>0</x:v>
      </x:c>
      <x:c r="H71" s="39" t="n">
        <x:v>6</x:v>
      </x:c>
      <x:c r="I71" s="39" t="n">
        <x:v>6</x:v>
      </x:c>
      <x:c r="J71" s="39" t="str">
        <x:v>Future</x:v>
      </x:c>
      <x:c r="K71" s="39" t="str">
        <x:v>Build against current public ports/fixtures; must not change MVP contracts until promoted</x:v>
      </x:c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9" t="str">
        <x:v>K-FWP02</x:v>
      </x:c>
      <x:c r="B72" s="39" t="str">
        <x:v>Khải</x:v>
      </x:c>
      <x:c r="C72" s="39" t="str">
        <x:v>FUTURE</x:v>
      </x:c>
      <x:c r="D72" s="39" t="str">
        <x:v>Community Contribution Gamification</x:v>
      </x:c>
      <x:c r="E72" s="39" t="str">
        <x:v>FUTURE-F021, FUTURE-F022, FUTURE-F023</x:v>
      </x:c>
      <x:c r="F72" s="39" t="n">
        <x:v>0</x:v>
      </x:c>
      <x:c r="G72" s="39" t="n">
        <x:v>0</x:v>
      </x:c>
      <x:c r="H72" s="39" t="n">
        <x:v>3</x:v>
      </x:c>
      <x:c r="I72" s="39" t="n">
        <x:v>3</x:v>
      </x:c>
      <x:c r="J72" s="39" t="str">
        <x:v>Future</x:v>
      </x:c>
      <x:c r="K72" s="39" t="str">
        <x:v>Build against current public ports/fixtures; must not change MVP contracts until promoted</x:v>
      </x:c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9" t="str">
        <x:v>I-FWP01</x:v>
      </x:c>
      <x:c r="B73" s="39" t="str">
        <x:v>Kiên</x:v>
      </x:c>
      <x:c r="C73" s="39" t="str">
        <x:v>FUTURE</x:v>
      </x:c>
      <x:c r="D73" s="39" t="str">
        <x:v>Knowledge Library &amp; Editorial Workflow</x:v>
      </x:c>
      <x:c r="E73" s="39" t="str">
        <x:v>FUTURE-F007, FUTURE-F008, FUTURE-F009, FUTURE-F010, FUTURE-F011, FUTURE-F012</x:v>
      </x:c>
      <x:c r="F73" s="39" t="n">
        <x:v>0</x:v>
      </x:c>
      <x:c r="G73" s="39" t="n">
        <x:v>0</x:v>
      </x:c>
      <x:c r="H73" s="39" t="n">
        <x:v>6</x:v>
      </x:c>
      <x:c r="I73" s="39" t="n">
        <x:v>6</x:v>
      </x:c>
      <x:c r="J73" s="39" t="str">
        <x:v>Future</x:v>
      </x:c>
      <x:c r="K73" s="39" t="str">
        <x:v>Build against current public ports/fixtures; must not change MVP contracts until promoted</x:v>
      </x:c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9" t="str">
        <x:v>I-FWP02</x:v>
      </x:c>
      <x:c r="B74" s="39" t="str">
        <x:v>Kiên</x:v>
      </x:c>
      <x:c r="C74" s="39" t="str">
        <x:v>FUTURE</x:v>
      </x:c>
      <x:c r="D74" s="39" t="str">
        <x:v>Anti-Scam Quiz &amp; Learning Evaluation</x:v>
      </x:c>
      <x:c r="E74" s="39" t="str">
        <x:v>FUTURE-F019, FUTURE-F020</x:v>
      </x:c>
      <x:c r="F74" s="39" t="n">
        <x:v>0</x:v>
      </x:c>
      <x:c r="G74" s="39" t="n">
        <x:v>0</x:v>
      </x:c>
      <x:c r="H74" s="39" t="n">
        <x:v>2</x:v>
      </x:c>
      <x:c r="I74" s="39" t="n">
        <x:v>2</x:v>
      </x:c>
      <x:c r="J74" s="39" t="str">
        <x:v>Future</x:v>
      </x:c>
      <x:c r="K74" s="39" t="str">
        <x:v>Build against current public ports/fixtures; must not change MVP contracts until promoted</x:v>
      </x:c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9" t="str">
        <x:v>T-FWP01</x:v>
      </x:c>
      <x:c r="B75" s="39" t="str">
        <x:v>Thắng</x:v>
      </x:c>
      <x:c r="C75" s="39" t="str">
        <x:v>FUTURE</x:v>
      </x:c>
      <x:c r="D75" s="39" t="str">
        <x:v>Scam Q&amp;A Assistant</x:v>
      </x:c>
      <x:c r="E75" s="39" t="str">
        <x:v>FUTURE-F013, FUTURE-F014, FUTURE-F015, FUTURE-F016, FUTURE-F017, FUTURE-F018</x:v>
      </x:c>
      <x:c r="F75" s="39" t="n">
        <x:v>0</x:v>
      </x:c>
      <x:c r="G75" s="39" t="n">
        <x:v>0</x:v>
      </x:c>
      <x:c r="H75" s="39" t="n">
        <x:v>6</x:v>
      </x:c>
      <x:c r="I75" s="39" t="n">
        <x:v>6</x:v>
      </x:c>
      <x:c r="J75" s="39" t="str">
        <x:v>Future</x:v>
      </x:c>
      <x:c r="K75" s="39" t="str">
        <x:v>Build against current public ports/fixtures; must not change MVP contracts until promoted</x:v>
      </x:c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9" t="str">
        <x:v>T-FWP02</x:v>
      </x:c>
      <x:c r="B76" s="39" t="str">
        <x:v>Thắng</x:v>
      </x:c>
      <x:c r="C76" s="39" t="str">
        <x:v>FUTURE</x:v>
      </x:c>
      <x:c r="D76" s="39" t="str">
        <x:v>Social Sharing for Learning/Engagement</x:v>
      </x:c>
      <x:c r="E76" s="39" t="str">
        <x:v>FUTURE-F024</x:v>
      </x:c>
      <x:c r="F76" s="39" t="n">
        <x:v>0</x:v>
      </x:c>
      <x:c r="G76" s="39" t="n">
        <x:v>0</x:v>
      </x:c>
      <x:c r="H76" s="39" t="n">
        <x:v>1</x:v>
      </x:c>
      <x:c r="I76" s="39" t="n">
        <x:v>1</x:v>
      </x:c>
      <x:c r="J76" s="39" t="str">
        <x:v>Future</x:v>
      </x:c>
      <x:c r="K76" s="39" t="str">
        <x:v>Build against current public ports/fixtures; must not change MVP contracts until promoted</x:v>
      </x:c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pageMargins left="0.7" right="0.7" top="0.75" bottom="0.75" header="0.3" footer="0.3"/>
  <x:tableParts count="1">
    <x:tablePart xmlns:r="http://schemas.openxmlformats.org/officeDocument/2006/relationships" r:id="R4f74cfa73c1249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70" hidden="0" customWidth="1"/>
  </x:cols>
  <x:sheetData>
    <x:row r="1">
      <x:c r="A1" s="28" t="str">
        <x:v>Cycle</x:v>
      </x:c>
      <x:c r="B1" s="28" t="str">
        <x:v>T5 Progress</x:v>
      </x:c>
      <x:c r="C1" s="28" t="str">
        <x:v>T7 Progress</x:v>
      </x:c>
      <x:c r="D1" s="28" t="str">
        <x:v>T2 Summary</x:v>
      </x:c>
      <x:c r="E1" s="28" t="str">
        <x:v>T3 Lecturer</x:v>
      </x:c>
      <x:c r="F1" s="28" t="str">
        <x:v>Lecturer Cadence</x:v>
      </x:c>
      <x:c r="G1" s="28" t="str">
        <x:v>Checklist</x:v>
      </x:c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9" t="str">
        <x:v>B0</x:v>
      </x:c>
      <x:c r="B2" s="41" t="n">
        <x:v>46296</x:v>
      </x:c>
      <x:c r="C2" s="41" t="n">
        <x:v>46298</x:v>
      </x:c>
      <x:c r="D2" s="41" t="n">
        <x:v>46300</x:v>
      </x:c>
      <x:c r="E2" s="41" t="n">
        <x:v>46301</x:v>
      </x:c>
      <x:c r="F2" s="39" t="str">
        <x:v>Có</x:v>
      </x:c>
      <x:c r="G2" s="39" t="str">
        <x:v>T5: unblock/contract · T7: demo/review · T2: tick tracker + template report · T3: báo GV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9" t="str">
        <x:v>W01</x:v>
      </x:c>
      <x:c r="B3" s="41" t="n">
        <x:v>46303</x:v>
      </x:c>
      <x:c r="C3" s="41" t="n">
        <x:v>46305</x:v>
      </x:c>
      <x:c r="D3" s="41" t="n">
        <x:v>46307</x:v>
      </x:c>
      <x:c r="E3" s="41" t="n">
        <x:v>46308</x:v>
      </x:c>
      <x:c r="F3" s="39" t="str">
        <x:v>Có</x:v>
      </x:c>
      <x:c r="G3" s="39" t="str">
        <x:v>T5: unblock/contract · T7: demo/review · T2: tick tracker + template report · T3: báo GV</x:v>
      </x:c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9" t="str">
        <x:v>W02</x:v>
      </x:c>
      <x:c r="B4" s="41" t="n">
        <x:v>46310</x:v>
      </x:c>
      <x:c r="C4" s="41" t="n">
        <x:v>46312</x:v>
      </x:c>
      <x:c r="D4" s="41" t="n">
        <x:v>46314</x:v>
      </x:c>
      <x:c r="E4" s="41" t="n">
        <x:v>46315</x:v>
      </x:c>
      <x:c r="F4" s="39" t="str">
        <x:v>Có</x:v>
      </x:c>
      <x:c r="G4" s="39" t="str">
        <x:v>T5: unblock/contract · T7: demo/review · T2: tick tracker + template report · T3: báo GV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9" t="str">
        <x:v>W03</x:v>
      </x:c>
      <x:c r="B5" s="41" t="n">
        <x:v>46317</x:v>
      </x:c>
      <x:c r="C5" s="41" t="n">
        <x:v>46319</x:v>
      </x:c>
      <x:c r="D5" s="41" t="n">
        <x:v>46321</x:v>
      </x:c>
      <x:c r="E5" s="41" t="n">
        <x:v>46322</x:v>
      </x:c>
      <x:c r="F5" s="39" t="str">
        <x:v>Có</x:v>
      </x:c>
      <x:c r="G5" s="39" t="str">
        <x:v>T5: unblock/contract · T7: demo/review · T2: tick tracker + template report · T3: báo GV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9" t="str">
        <x:v>W04</x:v>
      </x:c>
      <x:c r="B6" s="41" t="n">
        <x:v>46324</x:v>
      </x:c>
      <x:c r="C6" s="41" t="n">
        <x:v>46326</x:v>
      </x:c>
      <x:c r="D6" s="41" t="n">
        <x:v>46328</x:v>
      </x:c>
      <x:c r="E6" s="41" t="n">
        <x:v>46329</x:v>
      </x:c>
      <x:c r="F6" s="39" t="str">
        <x:v>Có</x:v>
      </x:c>
      <x:c r="G6" s="39" t="str">
        <x:v>T5: unblock/contract · T7: demo/review · T2: tick tracker + template report · T3: báo GV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9" t="str">
        <x:v>W05</x:v>
      </x:c>
      <x:c r="B7" s="41" t="n">
        <x:v>46331</x:v>
      </x:c>
      <x:c r="C7" s="41" t="n">
        <x:v>46333</x:v>
      </x:c>
      <x:c r="D7" s="41" t="n">
        <x:v>46335</x:v>
      </x:c>
      <x:c r="E7" s="41" t="n">
        <x:v>46336</x:v>
      </x:c>
      <x:c r="F7" s="39" t="str">
        <x:v>Tuỳ chọn</x:v>
      </x:c>
      <x:c r="G7" s="39" t="str">
        <x:v>T5: unblock/contract · T7: demo/review · T2: tick tracker + template report · T3: báo GV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9" t="str">
        <x:v>W06</x:v>
      </x:c>
      <x:c r="B8" s="41" t="n">
        <x:v>46338</x:v>
      </x:c>
      <x:c r="C8" s="41" t="n">
        <x:v>46340</x:v>
      </x:c>
      <x:c r="D8" s="41" t="n">
        <x:v>46342</x:v>
      </x:c>
      <x:c r="E8" s="41" t="n">
        <x:v>46343</x:v>
      </x:c>
      <x:c r="F8" s="39" t="str">
        <x:v>Có</x:v>
      </x:c>
      <x:c r="G8" s="39" t="str">
        <x:v>T5: unblock/contract · T7: demo/review · T2: tick tracker + template report · T3: báo GV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9" t="str">
        <x:v>W07</x:v>
      </x:c>
      <x:c r="B9" s="41" t="n">
        <x:v>46345</x:v>
      </x:c>
      <x:c r="C9" s="41" t="n">
        <x:v>46347</x:v>
      </x:c>
      <x:c r="D9" s="41" t="n">
        <x:v>46349</x:v>
      </x:c>
      <x:c r="E9" s="41" t="n">
        <x:v>46350</x:v>
      </x:c>
      <x:c r="F9" s="39" t="str">
        <x:v>Tuỳ chọn</x:v>
      </x:c>
      <x:c r="G9" s="39" t="str">
        <x:v>T5: unblock/contract · T7: demo/review · T2: tick tracker + template report · T3: báo GV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9" t="str">
        <x:v>W08</x:v>
      </x:c>
      <x:c r="B10" s="41" t="n">
        <x:v>46352</x:v>
      </x:c>
      <x:c r="C10" s="41" t="n">
        <x:v>46354</x:v>
      </x:c>
      <x:c r="D10" s="41" t="n">
        <x:v>46356</x:v>
      </x:c>
      <x:c r="E10" s="41" t="n">
        <x:v>46357</x:v>
      </x:c>
      <x:c r="F10" s="39" t="str">
        <x:v>Có</x:v>
      </x:c>
      <x:c r="G10" s="39" t="str">
        <x:v>T5: unblock/contract · T7: demo/review · T2: tick tracker + template report · T3: báo GV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9" t="str">
        <x:v>W09</x:v>
      </x:c>
      <x:c r="B11" s="41" t="n">
        <x:v>46359</x:v>
      </x:c>
      <x:c r="C11" s="41" t="n">
        <x:v>46361</x:v>
      </x:c>
      <x:c r="D11" s="41" t="n">
        <x:v>46363</x:v>
      </x:c>
      <x:c r="E11" s="41" t="n">
        <x:v>46364</x:v>
      </x:c>
      <x:c r="F11" s="39" t="str">
        <x:v>Tuỳ chọn</x:v>
      </x:c>
      <x:c r="G11" s="39" t="str">
        <x:v>T5: unblock/contract · T7: demo/review · T2: tick tracker + template report · T3: báo GV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9" t="str">
        <x:v>W10</x:v>
      </x:c>
      <x:c r="B12" s="41" t="n">
        <x:v>46366</x:v>
      </x:c>
      <x:c r="C12" s="41" t="n">
        <x:v>46368</x:v>
      </x:c>
      <x:c r="D12" s="41" t="n">
        <x:v>46370</x:v>
      </x:c>
      <x:c r="E12" s="41" t="n">
        <x:v>46371</x:v>
      </x:c>
      <x:c r="F12" s="39" t="str">
        <x:v>Có</x:v>
      </x:c>
      <x:c r="G12" s="39" t="str">
        <x:v>T5: unblock/contract · T7: demo/review · T2: tick tracker + template report · T3: báo GV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9" t="str">
        <x:v>W11</x:v>
      </x:c>
      <x:c r="B13" s="41" t="n">
        <x:v>46373</x:v>
      </x:c>
      <x:c r="C13" s="41" t="n">
        <x:v>46375</x:v>
      </x:c>
      <x:c r="D13" s="41" t="n">
        <x:v>46377</x:v>
      </x:c>
      <x:c r="E13" s="41" t="n">
        <x:v>46378</x:v>
      </x:c>
      <x:c r="F13" s="39" t="str">
        <x:v>Tuỳ chọn</x:v>
      </x:c>
      <x:c r="G13" s="39" t="str">
        <x:v>T5: unblock/contract · T7: demo/review · T2: tick tracker + template report · T3: báo GV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9" t="str">
        <x:v>W12</x:v>
      </x:c>
      <x:c r="B14" s="41" t="n">
        <x:v>46380</x:v>
      </x:c>
      <x:c r="C14" s="41" t="n">
        <x:v>46382</x:v>
      </x:c>
      <x:c r="D14" s="41" t="n">
        <x:v>46384</x:v>
      </x:c>
      <x:c r="E14" s="41" t="n">
        <x:v>46385</x:v>
      </x:c>
      <x:c r="F14" s="39" t="str">
        <x:v>Có</x:v>
      </x:c>
      <x:c r="G14" s="39" t="str">
        <x:v>T5: unblock/contract · T7: demo/review · T2: tick tracker + template report · T3: báo GV</x:v>
      </x:c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9" t="str">
        <x:v>W13</x:v>
      </x:c>
      <x:c r="B15" s="41" t="n">
        <x:v>46387</x:v>
      </x:c>
      <x:c r="C15" s="41" t="n">
        <x:v>46389</x:v>
      </x:c>
      <x:c r="D15" s="41" t="n">
        <x:v>46391</x:v>
      </x:c>
      <x:c r="E15" s="41" t="n">
        <x:v>46392</x:v>
      </x:c>
      <x:c r="F15" s="39" t="str">
        <x:v>Tuỳ chọn</x:v>
      </x:c>
      <x:c r="G15" s="39" t="str">
        <x:v>T5: unblock/contract · T7: demo/review · T2: tick tracker + template report · T3: báo GV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9" t="str">
        <x:v>W14</x:v>
      </x:c>
      <x:c r="B16" s="41" t="n">
        <x:v>46394</x:v>
      </x:c>
      <x:c r="C16" s="41" t="n">
        <x:v>46396</x:v>
      </x:c>
      <x:c r="D16" s="41" t="n">
        <x:v>46398</x:v>
      </x:c>
      <x:c r="E16" s="41" t="n">
        <x:v>46399</x:v>
      </x:c>
      <x:c r="F16" s="39" t="str">
        <x:v>Có</x:v>
      </x:c>
      <x:c r="G16" s="39" t="str">
        <x:v>T5: unblock/contract · T7: demo/review · T2: tick tracker + template report · T3: báo GV</x:v>
      </x:c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9" t="str">
        <x:v>W15</x:v>
      </x:c>
      <x:c r="B17" s="41" t="n">
        <x:v>46401</x:v>
      </x:c>
      <x:c r="C17" s="41" t="n">
        <x:v>46403</x:v>
      </x:c>
      <x:c r="D17" s="41" t="n">
        <x:v>46405</x:v>
      </x:c>
      <x:c r="E17" s="41" t="n">
        <x:v>46406</x:v>
      </x:c>
      <x:c r="F17" s="39" t="str">
        <x:v>Tuỳ chọn</x:v>
      </x:c>
      <x:c r="G17" s="39" t="str">
        <x:v>T5: unblock/contract · T7: demo/review · T2: tick tracker + template report · T3: báo GV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9" t="str">
        <x:v>W16</x:v>
      </x:c>
      <x:c r="B18" s="41" t="n">
        <x:v>46408</x:v>
      </x:c>
      <x:c r="C18" s="41" t="n">
        <x:v>46410</x:v>
      </x:c>
      <x:c r="D18" s="41" t="n">
        <x:v>46412</x:v>
      </x:c>
      <x:c r="E18" s="41" t="n">
        <x:v>46413</x:v>
      </x:c>
      <x:c r="F18" s="39" t="str">
        <x:v>Có</x:v>
      </x:c>
      <x:c r="G18" s="39" t="str">
        <x:v>T5: unblock/contract · T7: demo/review · T2: tick tracker + template report · T3: báo GV</x:v>
      </x:c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9" t="str">
        <x:v>W17</x:v>
      </x:c>
      <x:c r="B19" s="41" t="n">
        <x:v>46415</x:v>
      </x:c>
      <x:c r="C19" s="41" t="n">
        <x:v>46417</x:v>
      </x:c>
      <x:c r="D19" s="41" t="n">
        <x:v>46419</x:v>
      </x:c>
      <x:c r="E19" s="41" t="n">
        <x:v>46420</x:v>
      </x:c>
      <x:c r="F19" s="39" t="str">
        <x:v>Tuỳ chọn</x:v>
      </x:c>
      <x:c r="G19" s="39" t="str">
        <x:v>T5: unblock/contract · T7: demo/review · T2: tick tracker + template report · T3: báo GV</x:v>
      </x:c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9" t="str">
        <x:v>W18</x:v>
      </x:c>
      <x:c r="B20" s="41" t="n">
        <x:v>46422</x:v>
      </x:c>
      <x:c r="C20" s="41" t="n">
        <x:v>46424</x:v>
      </x:c>
      <x:c r="D20" s="41" t="n">
        <x:v>46426</x:v>
      </x:c>
      <x:c r="E20" s="41" t="n">
        <x:v>46427</x:v>
      </x:c>
      <x:c r="F20" s="39" t="str">
        <x:v>Có</x:v>
      </x:c>
      <x:c r="G20" s="39" t="str">
        <x:v>T5: unblock/contract · T7: demo/review · T2: tick tracker + template report · T3: báo GV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9" t="str">
        <x:v>W19</x:v>
      </x:c>
      <x:c r="B21" s="41" t="n">
        <x:v>46429</x:v>
      </x:c>
      <x:c r="C21" s="41" t="n">
        <x:v>46431</x:v>
      </x:c>
      <x:c r="D21" s="41" t="n">
        <x:v>46433</x:v>
      </x:c>
      <x:c r="E21" s="41" t="n">
        <x:v>46434</x:v>
      </x:c>
      <x:c r="F21" s="39" t="str">
        <x:v>Tuỳ chọn</x:v>
      </x:c>
      <x:c r="G21" s="39" t="str">
        <x:v>T5: unblock/contract · T7: demo/review · T2: tick tracker + template report · T3: báo GV</x:v>
      </x:c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9" t="str">
        <x:v>W20</x:v>
      </x:c>
      <x:c r="B22" s="41" t="n">
        <x:v>46436</x:v>
      </x:c>
      <x:c r="C22" s="41" t="n">
        <x:v>46438</x:v>
      </x:c>
      <x:c r="D22" s="41" t="n">
        <x:v>46440</x:v>
      </x:c>
      <x:c r="E22" s="41" t="n">
        <x:v>46441</x:v>
      </x:c>
      <x:c r="F22" s="39" t="str">
        <x:v>Có</x:v>
      </x:c>
      <x:c r="G22" s="39" t="str">
        <x:v>T5: unblock/contract · T7: demo/review · T2: tick tracker + template report · T3: báo GV</x:v>
      </x:c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9" t="str">
        <x:v>W21</x:v>
      </x:c>
      <x:c r="B23" s="41" t="n">
        <x:v>46443</x:v>
      </x:c>
      <x:c r="C23" s="41" t="n">
        <x:v>46445</x:v>
      </x:c>
      <x:c r="D23" s="41" t="n">
        <x:v>46447</x:v>
      </x:c>
      <x:c r="E23" s="41" t="n">
        <x:v>46448</x:v>
      </x:c>
      <x:c r="F23" s="39" t="str">
        <x:v>Tuỳ chọn</x:v>
      </x:c>
      <x:c r="G23" s="39" t="str">
        <x:v>T5: unblock/contract · T7: demo/review · T2: tick tracker + template report · T3: báo GV</x:v>
      </x:c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9" t="str">
        <x:v>W22</x:v>
      </x:c>
      <x:c r="B24" s="41" t="n">
        <x:v>46450</x:v>
      </x:c>
      <x:c r="C24" s="41" t="n">
        <x:v>46452</x:v>
      </x:c>
      <x:c r="D24" s="41" t="n">
        <x:v>46454</x:v>
      </x:c>
      <x:c r="E24" s="41" t="n">
        <x:v>46455</x:v>
      </x:c>
      <x:c r="F24" s="39" t="str">
        <x:v>Có</x:v>
      </x:c>
      <x:c r="G24" s="39" t="str">
        <x:v>T5: unblock/contract · T7: demo/review · T2: tick tracker + template report · T3: báo GV</x:v>
      </x:c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9" t="str">
        <x:v>W23</x:v>
      </x:c>
      <x:c r="B25" s="41" t="n">
        <x:v>46457</x:v>
      </x:c>
      <x:c r="C25" s="41" t="n">
        <x:v>46459</x:v>
      </x:c>
      <x:c r="D25" s="41" t="n">
        <x:v>46461</x:v>
      </x:c>
      <x:c r="E25" s="41" t="n">
        <x:v>46462</x:v>
      </x:c>
      <x:c r="F25" s="39" t="str">
        <x:v>Tuỳ chọn</x:v>
      </x:c>
      <x:c r="G25" s="39" t="str">
        <x:v>T5: unblock/contract · T7: demo/review · T2: tick tracker + template report · T3: báo GV</x:v>
      </x:c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9" t="str">
        <x:v>W24</x:v>
      </x:c>
      <x:c r="B26" s="41" t="n">
        <x:v>46464</x:v>
      </x:c>
      <x:c r="C26" s="41" t="n">
        <x:v>46466</x:v>
      </x:c>
      <x:c r="D26" s="41" t="n">
        <x:v>46468</x:v>
      </x:c>
      <x:c r="E26" s="41" t="n">
        <x:v>46469</x:v>
      </x:c>
      <x:c r="F26" s="39" t="str">
        <x:v>Có</x:v>
      </x:c>
      <x:c r="G26" s="39" t="str">
        <x:v>T5: unblock/contract · T7: demo/review · T2: tick tracker + template report · T3: báo GV</x:v>
      </x:c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9" t="str">
        <x:v>W25</x:v>
      </x:c>
      <x:c r="B27" s="41" t="n">
        <x:v>46471</x:v>
      </x:c>
      <x:c r="C27" s="41" t="n">
        <x:v>46473</x:v>
      </x:c>
      <x:c r="D27" s="41" t="n">
        <x:v>46475</x:v>
      </x:c>
      <x:c r="E27" s="41" t="n">
        <x:v>46476</x:v>
      </x:c>
      <x:c r="F27" s="39" t="str">
        <x:v>Tuỳ chọn</x:v>
      </x:c>
      <x:c r="G27" s="39" t="str">
        <x:v>T5: unblock/contract · T7: demo/review · T2: tick tracker + template report · T3: báo GV</x:v>
      </x:c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9" t="str">
        <x:v>W26</x:v>
      </x:c>
      <x:c r="B28" s="41" t="n">
        <x:v>46478</x:v>
      </x:c>
      <x:c r="C28" s="41" t="n">
        <x:v>46480</x:v>
      </x:c>
      <x:c r="D28" s="41" t="n">
        <x:v>46482</x:v>
      </x:c>
      <x:c r="E28" s="41" t="n">
        <x:v>46483</x:v>
      </x:c>
      <x:c r="F28" s="39" t="str">
        <x:v>Có</x:v>
      </x:c>
      <x:c r="G28" s="39" t="str">
        <x:v>T5: unblock/contract · T7: demo/review · T2: tick tracker + template report · T3: báo GV</x:v>
      </x:c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9" t="str">
        <x:v>W27</x:v>
      </x:c>
      <x:c r="B29" s="41" t="n">
        <x:v>46485</x:v>
      </x:c>
      <x:c r="C29" s="41" t="n">
        <x:v>46487</x:v>
      </x:c>
      <x:c r="D29" s="41" t="n">
        <x:v>46489</x:v>
      </x:c>
      <x:c r="E29" s="41" t="n">
        <x:v>46490</x:v>
      </x:c>
      <x:c r="F29" s="39" t="str">
        <x:v>Tuỳ chọn</x:v>
      </x:c>
      <x:c r="G29" s="39" t="str">
        <x:v>T5: unblock/contract · T7: demo/review · T2: tick tracker + template report · T3: báo GV</x:v>
      </x:c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9" t="str">
        <x:v>W28</x:v>
      </x:c>
      <x:c r="B30" s="41" t="n">
        <x:v>46492</x:v>
      </x:c>
      <x:c r="C30" s="41" t="n">
        <x:v>46494</x:v>
      </x:c>
      <x:c r="D30" s="41" t="n">
        <x:v>46496</x:v>
      </x:c>
      <x:c r="E30" s="41" t="n">
        <x:v>46497</x:v>
      </x:c>
      <x:c r="F30" s="39" t="str">
        <x:v>Có</x:v>
      </x:c>
      <x:c r="G30" s="39" t="str">
        <x:v>T5: unblock/contract · T7: demo/review · T2: tick tracker + template report · T3: báo GV</x:v>
      </x:c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9" t="str">
        <x:v>W29</x:v>
      </x:c>
      <x:c r="B31" s="41" t="n">
        <x:v>46499</x:v>
      </x:c>
      <x:c r="C31" s="41" t="n">
        <x:v>46501</x:v>
      </x:c>
      <x:c r="D31" s="41" t="n">
        <x:v>46503</x:v>
      </x:c>
      <x:c r="E31" s="41" t="n">
        <x:v>46504</x:v>
      </x:c>
      <x:c r="F31" s="39" t="str">
        <x:v>Tuỳ chọn</x:v>
      </x:c>
      <x:c r="G31" s="39" t="str">
        <x:v>T5: unblock/contract · T7: demo/review · T2: tick tracker + template report · T3: báo GV</x:v>
      </x:c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9" t="str">
        <x:v>W30</x:v>
      </x:c>
      <x:c r="B32" s="41" t="n">
        <x:v>46506</x:v>
      </x:c>
      <x:c r="C32" s="41" t="n">
        <x:v>46508</x:v>
      </x:c>
      <x:c r="D32" s="41" t="n">
        <x:v>46510</x:v>
      </x:c>
      <x:c r="E32" s="41" t="n">
        <x:v>46511</x:v>
      </x:c>
      <x:c r="F32" s="39" t="str">
        <x:v>Có</x:v>
      </x:c>
      <x:c r="G32" s="39" t="str">
        <x:v>T5: unblock/contract · T7: demo/review · T2: tick tracker + template report · T3: báo GV</x:v>
      </x:c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9" t="str">
        <x:v>W31</x:v>
      </x:c>
      <x:c r="B33" s="41" t="n">
        <x:v>46513</x:v>
      </x:c>
      <x:c r="C33" s="41" t="n">
        <x:v>46515</x:v>
      </x:c>
      <x:c r="D33" s="41" t="n">
        <x:v>46517</x:v>
      </x:c>
      <x:c r="E33" s="41" t="n">
        <x:v>46518</x:v>
      </x:c>
      <x:c r="F33" s="39" t="str">
        <x:v>Tuỳ chọn</x:v>
      </x:c>
      <x:c r="G33" s="39" t="str">
        <x:v>T5: unblock/contract · T7: demo/review · T2: tick tracker + template report · T3: báo GV</x:v>
      </x:c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9" t="str">
        <x:v>W32</x:v>
      </x:c>
      <x:c r="B34" s="41" t="n">
        <x:v>46520</x:v>
      </x:c>
      <x:c r="C34" s="41" t="n">
        <x:v>46522</x:v>
      </x:c>
      <x:c r="D34" s="41" t="n">
        <x:v>46524</x:v>
      </x:c>
      <x:c r="E34" s="41" t="n">
        <x:v>46525</x:v>
      </x:c>
      <x:c r="F34" s="39" t="str">
        <x:v>Có</x:v>
      </x:c>
      <x:c r="G34" s="39" t="str">
        <x:v>T5: unblock/contract · T7: demo/review · T2: tick tracker + template report · T3: báo GV</x:v>
      </x:c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9" t="str">
        <x:v>W33</x:v>
      </x:c>
      <x:c r="B35" s="41" t="n">
        <x:v>46527</x:v>
      </x:c>
      <x:c r="C35" s="41" t="n">
        <x:v>46529</x:v>
      </x:c>
      <x:c r="D35" s="41" t="n">
        <x:v>46531</x:v>
      </x:c>
      <x:c r="E35" s="41" t="n">
        <x:v>46532</x:v>
      </x:c>
      <x:c r="F35" s="39" t="str">
        <x:v>Có</x:v>
      </x:c>
      <x:c r="G35" s="39" t="str">
        <x:v>T5: unblock/contract · T7: demo/review · T2: tick tracker + template report · T3: báo GV</x:v>
      </x:c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9" t="str">
        <x:v>W34</x:v>
      </x:c>
      <x:c r="B36" s="41" t="n">
        <x:v>46534</x:v>
      </x:c>
      <x:c r="C36" s="41" t="n">
        <x:v>46536</x:v>
      </x:c>
      <x:c r="D36" s="41" t="n">
        <x:v>46538</x:v>
      </x:c>
      <x:c r="E36" s="41" t="n">
        <x:v>46539</x:v>
      </x:c>
      <x:c r="F36" s="39" t="str">
        <x:v>Có</x:v>
      </x:c>
      <x:c r="G36" s="39" t="str">
        <x:v>T5: unblock/contract · T7: demo/review · T2: tick tracker + template report · T3: báo GV</x:v>
      </x:c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9" t="str">
        <x:v>W35</x:v>
      </x:c>
      <x:c r="B37" s="41" t="n">
        <x:v>46541</x:v>
      </x:c>
      <x:c r="C37" s="41" t="n">
        <x:v>46543</x:v>
      </x:c>
      <x:c r="D37" s="41" t="n">
        <x:v>46545</x:v>
      </x:c>
      <x:c r="E37" s="41" t="n">
        <x:v>46546</x:v>
      </x:c>
      <x:c r="F37" s="39" t="str">
        <x:v>Có</x:v>
      </x:c>
      <x:c r="G37" s="39" t="str">
        <x:v>T5: unblock/contract · T7: demo/review · T2: tick tracker + template report · T3: báo GV</x:v>
      </x:c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9" t="str">
        <x:v>W36</x:v>
      </x:c>
      <x:c r="B38" s="41" t="n">
        <x:v>46548</x:v>
      </x:c>
      <x:c r="C38" s="41" t="n">
        <x:v>46550</x:v>
      </x:c>
      <x:c r="D38" s="41" t="n">
        <x:v>46552</x:v>
      </x:c>
      <x:c r="E38" s="41" t="n">
        <x:v>46553</x:v>
      </x:c>
      <x:c r="F38" s="39" t="str">
        <x:v>Có</x:v>
      </x:c>
      <x:c r="G38" s="39" t="str">
        <x:v>T5: unblock/contract · T7: demo/review · T2: tick tracker + template report · T3: báo GV</x:v>
      </x:c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9" t="str">
        <x:v>W37</x:v>
      </x:c>
      <x:c r="B39" s="41" t="n">
        <x:v>46555</x:v>
      </x:c>
      <x:c r="C39" s="41" t="n">
        <x:v>46557</x:v>
      </x:c>
      <x:c r="D39" s="41" t="n">
        <x:v>46559</x:v>
      </x:c>
      <x:c r="E39" s="41" t="n">
        <x:v>46560</x:v>
      </x:c>
      <x:c r="F39" s="39" t="str">
        <x:v>Có</x:v>
      </x:c>
      <x:c r="G39" s="39" t="str">
        <x:v>T5: unblock/contract · T7: demo/review · T2: tick tracker + template report · T3: báo GV</x:v>
      </x:c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9" t="str">
        <x:v>W38</x:v>
      </x:c>
      <x:c r="B40" s="41" t="n">
        <x:v>46562</x:v>
      </x:c>
      <x:c r="C40" s="41" t="n">
        <x:v>46564</x:v>
      </x:c>
      <x:c r="D40" s="41" t="n">
        <x:v>46566</x:v>
      </x:c>
      <x:c r="E40" s="41" t="n">
        <x:v>46567</x:v>
      </x:c>
      <x:c r="F40" s="39" t="str">
        <x:v>Có</x:v>
      </x:c>
      <x:c r="G40" s="39" t="str">
        <x:v>T5: unblock/contract · T7: demo/review · T2: tick tracker + template report · T3: báo GV</x:v>
      </x:c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9" t="str">
        <x:v>W39</x:v>
      </x:c>
      <x:c r="B41" s="41" t="n">
        <x:v>46569</x:v>
      </x:c>
      <x:c r="C41" s="41" t="n">
        <x:v>46571</x:v>
      </x:c>
      <x:c r="D41" s="41" t="n">
        <x:v>46573</x:v>
      </x:c>
      <x:c r="E41" s="41" t="n">
        <x:v>46574</x:v>
      </x:c>
      <x:c r="F41" s="39" t="str">
        <x:v>Có</x:v>
      </x:c>
      <x:c r="G41" s="39" t="str">
        <x:v>T5: unblock/contract · T7: demo/review · T2: tick tracker + template report · T3: báo GV</x:v>
      </x:c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9" t="str">
        <x:v>W40</x:v>
      </x:c>
      <x:c r="B42" s="41" t="n">
        <x:v>46576</x:v>
      </x:c>
      <x:c r="C42" s="41" t="n">
        <x:v>46578</x:v>
      </x:c>
      <x:c r="D42" s="41" t="n">
        <x:v>46580</x:v>
      </x:c>
      <x:c r="E42" s="41" t="n">
        <x:v>46581</x:v>
      </x:c>
      <x:c r="F42" s="39" t="str">
        <x:v>Có</x:v>
      </x:c>
      <x:c r="G42" s="39" t="str">
        <x:v>T5: unblock/contract · T7: demo/review · T2: tick tracker + template report · T3: báo GV</x:v>
      </x:c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9" t="str">
        <x:v>W41</x:v>
      </x:c>
      <x:c r="B43" s="41" t="n">
        <x:v>46583</x:v>
      </x:c>
      <x:c r="C43" s="41" t="n">
        <x:v>46585</x:v>
      </x:c>
      <x:c r="D43" s="41" t="n">
        <x:v>46587</x:v>
      </x:c>
      <x:c r="E43" s="41" t="n">
        <x:v>46588</x:v>
      </x:c>
      <x:c r="F43" s="39" t="str">
        <x:v>Tuỳ chọn</x:v>
      </x:c>
      <x:c r="G43" s="39" t="str">
        <x:v>T5: unblock/contract · T7: demo/review · T2: tick tracker + template report · T3: báo GV</x:v>
      </x:c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9" t="str">
        <x:v>W42</x:v>
      </x:c>
      <x:c r="B44" s="41" t="n">
        <x:v>46590</x:v>
      </x:c>
      <x:c r="C44" s="41" t="n">
        <x:v>46592</x:v>
      </x:c>
      <x:c r="D44" s="41" t="n">
        <x:v>46594</x:v>
      </x:c>
      <x:c r="E44" s="41" t="n">
        <x:v>46595</x:v>
      </x:c>
      <x:c r="F44" s="39" t="str">
        <x:v>Có</x:v>
      </x:c>
      <x:c r="G44" s="39" t="str">
        <x:v>T5: unblock/contract · T7: demo/review · T2: tick tracker + template report · T3: báo GV</x:v>
      </x:c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9" t="str">
        <x:v>W43</x:v>
      </x:c>
      <x:c r="B45" s="41" t="n">
        <x:v>46597</x:v>
      </x:c>
      <x:c r="C45" s="41" t="n">
        <x:v>46599</x:v>
      </x:c>
      <x:c r="D45" s="41" t="n">
        <x:v>46601</x:v>
      </x:c>
      <x:c r="E45" s="41" t="n">
        <x:v>46602</x:v>
      </x:c>
      <x:c r="F45" s="39" t="str">
        <x:v>Tuỳ chọn</x:v>
      </x:c>
      <x:c r="G45" s="39" t="str">
        <x:v>T5: unblock/contract · T7: demo/review · T2: tick tracker + template report · T3: báo GV</x:v>
      </x:c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</x:sheetData>
  <x:pageMargins left="0.7" right="0.7" top="0.75" bottom="0.75" header="0.3" footer="0.3"/>
</x:worksheet>
</file>