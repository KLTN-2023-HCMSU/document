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f761eecf4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671f507a53564098"/>
    <x:sheet xmlns:r="http://schemas.openxmlformats.org/officeDocument/2006/relationships" name="Phân công team" sheetId="2" r:id="R795ef820785946ef"/>
    <x:sheet xmlns:r="http://schemas.openxmlformats.org/officeDocument/2006/relationships" name="Work Packages" sheetId="3" r:id="Rec7dd0887f964f2c"/>
    <x:sheet xmlns:r="http://schemas.openxmlformats.org/officeDocument/2006/relationships" name="Modules" sheetId="4" r:id="R3ee3e6bf3567493c"/>
    <x:sheet xmlns:r="http://schemas.openxmlformats.org/officeDocument/2006/relationships" name="Danh sách tính năng" sheetId="5" r:id="Ra0620176f4e04221"/>
    <x:sheet xmlns:r="http://schemas.openxmlformats.org/officeDocument/2006/relationships" name="MVP - P0" sheetId="6" r:id="R55752a1b3740487b"/>
    <x:sheet xmlns:r="http://schemas.openxmlformats.org/officeDocument/2006/relationships" name="Future Scope" sheetId="7" r:id="Ra32c249894254a87"/>
    <x:sheet xmlns:r="http://schemas.openxmlformats.org/officeDocument/2006/relationships" name="Contract hiện hành" sheetId="8" r:id="R318b0dc186ff4845"/>
    <x:sheet xmlns:r="http://schemas.openxmlformats.org/officeDocument/2006/relationships" name="Thay đổi V2" sheetId="9" r:id="Rd9d5e46190cd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A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ce195a0224a9a" /><Relationship Type="http://schemas.openxmlformats.org/officeDocument/2006/relationships/theme" Target="/xl/theme/theme1.xml" Id="R6f45a0c2ce1a43f8" /><Relationship Type="http://schemas.openxmlformats.org/officeDocument/2006/relationships/sharedStrings" Target="/xl/sharedStrings.xml" Id="R3eefc61f30fb4c07" /><Relationship Type="http://schemas.openxmlformats.org/officeDocument/2006/relationships/worksheet" Target="/xl/worksheets/sheet1.xml" Id="R671f507a53564098" /><Relationship Type="http://schemas.openxmlformats.org/officeDocument/2006/relationships/worksheet" Target="/xl/worksheets/sheet2.xml" Id="R795ef820785946ef" /><Relationship Type="http://schemas.openxmlformats.org/officeDocument/2006/relationships/worksheet" Target="/xl/worksheets/sheet3.xml" Id="Rec7dd0887f964f2c" /><Relationship Type="http://schemas.openxmlformats.org/officeDocument/2006/relationships/worksheet" Target="/xl/worksheets/sheet4.xml" Id="R3ee3e6bf3567493c" /><Relationship Type="http://schemas.openxmlformats.org/officeDocument/2006/relationships/worksheet" Target="/xl/worksheets/sheet5.xml" Id="Ra0620176f4e04221" /><Relationship Type="http://schemas.openxmlformats.org/officeDocument/2006/relationships/worksheet" Target="/xl/worksheets/sheet6.xml" Id="R55752a1b3740487b" /><Relationship Type="http://schemas.openxmlformats.org/officeDocument/2006/relationships/worksheet" Target="/xl/worksheets/sheet7.xml" Id="Ra32c249894254a87" /><Relationship Type="http://schemas.openxmlformats.org/officeDocument/2006/relationships/worksheet" Target="/xl/worksheets/sheet8.xml" Id="R318b0dc186ff4845" /><Relationship Type="http://schemas.openxmlformats.org/officeDocument/2006/relationships/worksheet" Target="/xl/worksheets/sheet9.xml" Id="Rd9d5e46190cd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b389ad2b934d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Workload Index M01–M14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Workload</c:v>
          </c:tx>
          <c:cat>
            <c:strRef>
              <c:f>'Tổng quan'!$J$12:$J$15</c:f>
              <c:strCache>
                <c:ptCount val="0"/>
              </c:strCache>
            </c:strRef>
          </c:cat>
          <c:val>
            <c:numRef>
              <c:f>'Tổng quan'!$K$12:$K$15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b389ad2b934d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PackagesTable" displayName="WorkPackagesTable" ref="A1:L76" headerRowCount="1" totalsRowCount="0" totalsRowShown="0">
  <x:tableColumns count="12">
    <x:tableColumn id="1" name="WP"/>
    <x:tableColumn id="2" name="Owner"/>
    <x:tableColumn id="3" name="Module"/>
    <x:tableColumn id="4" name="Work Package"/>
    <x:tableColumn id="5" name="Feature IDs"/>
    <x:tableColumn id="6" name="Feature count"/>
    <x:tableColumn id="7" name="P0"/>
    <x:tableColumn id="8" name="P1"/>
    <x:tableColumn id="9" name="P2"/>
    <x:tableColumn id="10" name="Workload"/>
    <x:tableColumn id="11" name="Future?"/>
    <x:tableColumn id="12" name="Mock / contract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Table" displayName="ModulesTable" ref="A1:L16" headerRowCount="1" totalsRowCount="0" totalsRowShown="0">
  <x:tableColumns count="12">
    <x:tableColumn id="1" name="Module"/>
    <x:tableColumn id="2" name="Tên"/>
    <x:tableColumn id="3" name="Owner"/>
    <x:tableColumn id="4" name="Type"/>
    <x:tableColumn id="5" name="Actor"/>
    <x:tableColumn id="6" name="Dependencies"/>
    <x:tableColumn id="7" name="Feature"/>
    <x:tableColumn id="8" name="WP"/>
    <x:tableColumn id="9" name="P0"/>
    <x:tableColumn id="10" name="P1"/>
    <x:tableColumn id="11" name="P2"/>
    <x:tableColumn id="12" name="Mục đí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sTable" displayName="FeaturesTable" ref="A1:I423" headerRowCount="1" totalsRowCount="0" totalsRowShown="0">
  <x:tableColumns count="9">
    <x:tableColumn id="1" name="ID"/>
    <x:tableColumn id="2" name="Module"/>
    <x:tableColumn id="3" name="Work Package"/>
    <x:tableColumn id="4" name="Owner hiện tại"/>
    <x:tableColumn id="5" name="Priority"/>
    <x:tableColumn id="6" name="Action"/>
    <x:tableColumn id="7" name="Feature hiện tại"/>
    <x:tableColumn id="8" name="Legacy/Source"/>
    <x:tableColumn id="9" name="Legacy owner (trace only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vpP0Table" displayName="MvpP0Table" ref="A1:F162" headerRowCount="1" totalsRowCount="0" totalsRowShown="0">
  <x:tableColumns count="6">
    <x:tableColumn id="1" name="ID"/>
    <x:tableColumn id="2" name="Module"/>
    <x:tableColumn id="3" name="Work Package"/>
    <x:tableColumn id="4" name="Owner"/>
    <x:tableColumn id="5" name="P0 feature"/>
    <x:tableColumn id="6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tureScopeTable" displayName="FutureScopeTable" ref="A1:F34" headerRowCount="1" totalsRowCount="0" totalsRowShown="0">
  <x:tableColumns count="6">
    <x:tableColumn id="1" name="ID"/>
    <x:tableColumn id="2" name="Future Work Package"/>
    <x:tableColumn id="3" name="Owner nghiên cứu"/>
    <x:tableColumn id="4" name="Feature"/>
    <x:tableColumn id="5" name="Source"/>
    <x:tableColumn id="6" name="Legacy 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ec3a7af4764e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31ce24b87b145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6041c11f8e44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fbc03b8058547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89ca91b360545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1009d7a3adc44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</x:cols>
  <x:sheetData>
    <x:row r="1" ht="28" customHeight="1">
      <x:c r="A1" s="30" t="str">
        <x:v>Anti-Scam Platform — Feature Backlog V2</x:v>
      </x:c>
      <x:c r="B1" s="30"/>
      <x:c r="C1" s="30"/>
      <x:c r="D1" s="30"/>
      <x:c r="E1" s="30"/>
      <x:c r="F1" s="30"/>
      <x:c r="G1" s="30"/>
      <x:c r="H1" s="30"/>
    </x:row>
    <x:row r="2">
      <x:c r="A2" s="31" t="str">
        <x:v>Architecture V3.3 · Modules Specification V1.3 · Schema V1.0 Draft · cập nhật 2026-09-26</x:v>
      </x:c>
      <x:c r="B2" s="31"/>
      <x:c r="C2" s="31"/>
      <x:c r="D2" s="31"/>
      <x:c r="E2" s="31"/>
      <x:c r="F2" s="31"/>
      <x:c r="G2" s="31"/>
      <x:c r="H2" s="31"/>
    </x:row>
    <x:row r="3">
      <x:c r="A3" s="32"/>
      <x:c r="B3" s="32"/>
      <x:c r="C3" s="32"/>
      <x:c r="D3" s="32"/>
      <x:c r="E3" s="32"/>
      <x:c r="F3" s="32"/>
      <x:c r="G3" s="32"/>
      <x:c r="H3" s="32"/>
    </x:row>
    <x:row r="4" ht="28" customHeight="1">
      <x:c r="A4" s="68" t="str">
        <x:v>Chỉ số</x:v>
      </x:c>
      <x:c r="B4" s="68" t="str">
        <x:v>Giá trị</x:v>
      </x:c>
      <x:c r="C4" s="47"/>
      <x:c r="D4" s="68" t="str">
        <x:v>Nguyên tắc thực thi</x:v>
      </x:c>
      <x:c r="E4" s="68" t="str"/>
      <x:c r="F4" s="68" t="str"/>
      <x:c r="G4" s="68" t="str"/>
      <x:c r="H4" s="68" t="str"/>
    </x:row>
    <x:row r="5">
      <x:c r="A5" s="47" t="str">
        <x:v>Tổng feature</x:v>
      </x:c>
      <x:c r="B5" s="47" t="n">
        <x:v>422</x:v>
      </x:c>
      <x:c r="C5" s="47"/>
      <x:c r="D5" s="48" t="str">
        <x:v>1</x:v>
      </x:c>
      <x:c r="E5" s="49" t="str">
        <x:v>Module là boundary kiến trúc; WP là đơn vị giao việc chính.</x:v>
      </x:c>
      <x:c r="F5" s="49" t="str"/>
      <x:c r="G5" s="49" t="str"/>
      <x:c r="H5" s="49" t="str"/>
    </x:row>
    <x:row r="6">
      <x:c r="A6" s="47" t="str">
        <x:v>M01–M14 feature</x:v>
      </x:c>
      <x:c r="B6" s="47" t="n">
        <x:v>389</x:v>
      </x:c>
      <x:c r="C6" s="47"/>
      <x:c r="D6" s="48" t="str">
        <x:v>2</x:v>
      </x:c>
      <x:c r="E6" s="49" t="str">
        <x:v>Fxxx là acceptance criteria/traceability, không phải task sprint độc lập.</x:v>
      </x:c>
      <x:c r="F6" s="49" t="str"/>
      <x:c r="G6" s="49" t="str"/>
      <x:c r="H6" s="49" t="str"/>
    </x:row>
    <x:row r="7">
      <x:c r="A7" s="47" t="str">
        <x:v>Future feature</x:v>
      </x:c>
      <x:c r="B7" s="47" t="n">
        <x:v>33</x:v>
      </x:c>
      <x:c r="C7" s="47"/>
      <x:c r="D7" s="48" t="str">
        <x:v>3</x:v>
      </x:c>
      <x:c r="E7" s="49" t="str">
        <x:v>Mỗi WP có một owner duy nhất, end-to-end UI/API/worker/data/test.</x:v>
      </x:c>
      <x:c r="F7" s="49" t="str"/>
      <x:c r="G7" s="49" t="str"/>
      <x:c r="H7" s="49" t="str"/>
    </x:row>
    <x:row r="8">
      <x:c r="A8" s="47" t="str">
        <x:v>Tổng Work Package</x:v>
      </x:c>
      <x:c r="B8" s="47" t="n">
        <x:v>75</x:v>
      </x:c>
      <x:c r="C8" s="47"/>
      <x:c r="D8" s="48" t="str">
        <x:v>4</x:v>
      </x:c>
      <x:c r="E8" s="49" t="str">
        <x:v>Cross-owner dependency phải đi qua contract + mock/fixture.</x:v>
      </x:c>
      <x:c r="F8" s="49" t="str"/>
      <x:c r="G8" s="49" t="str"/>
      <x:c r="H8" s="49" t="str"/>
    </x:row>
    <x:row r="9">
      <x:c r="A9" s="47"/>
      <x:c r="B9" s="47"/>
      <x:c r="C9" s="47"/>
      <x:c r="D9" s="47"/>
      <x:c r="E9" s="47"/>
      <x:c r="F9" s="47"/>
      <x:c r="G9" s="47"/>
      <x:c r="H9" s="47"/>
    </x:row>
    <x:row r="10">
      <x:c r="A10" s="50" t="str">
        <x:v>Phân bổ workload</x:v>
      </x:c>
      <x:c r="B10" s="50"/>
      <x:c r="C10" s="50"/>
      <x:c r="D10" s="50"/>
      <x:c r="E10" s="50"/>
      <x:c r="F10" s="50"/>
      <x:c r="G10" s="50"/>
      <x:c r="H10" s="50"/>
    </x:row>
    <x:row r="11" ht="28" customHeight="1">
      <x:c r="A11" s="68" t="str">
        <x:v>Thành viên</x:v>
      </x:c>
      <x:c r="B11" s="68" t="str">
        <x:v>Workstream</x:v>
      </x:c>
      <x:c r="C11" s="68" t="str">
        <x:v>WP M01–M14</x:v>
      </x:c>
      <x:c r="D11" s="68" t="str">
        <x:v>Feature M01–M14</x:v>
      </x:c>
      <x:c r="E11" s="68" t="str">
        <x:v>P0</x:v>
      </x:c>
      <x:c r="F11" s="68" t="str">
        <x:v>Workload M01–M14</x:v>
      </x:c>
      <x:c r="G11" s="68" t="str">
        <x:v>Future WP</x:v>
      </x:c>
      <x:c r="H11" s="68" t="str">
        <x:v>Workload kể cả Future</x:v>
      </x:c>
      <x:c r="J11" t="str">
        <x:v>Thành viên</x:v>
      </x:c>
      <x:c r="K11" t="str">
        <x:v>Workload</x:v>
      </x:c>
    </x:row>
    <x:row r="12">
      <x:c r="A12" s="49" t="str">
        <x:v>Hùng</x:v>
      </x:c>
      <x:c r="B12" s="49" t="str">
        <x:v>Identity, Delivery &amp; Runtime</x:v>
      </x:c>
      <x:c r="C12" s="49" t="n">
        <x:f>'Phân công team'!D4</x:f>
        <x:v>17</x:v>
      </x:c>
      <x:c r="D12" s="49" t="n">
        <x:f>'Phân công team'!E4</x:f>
        <x:v>94</x:v>
      </x:c>
      <x:c r="E12" s="49" t="n">
        <x:f>'Phân công team'!F4</x:f>
        <x:v>41</x:v>
      </x:c>
      <x:c r="F12" s="49" t="n">
        <x:f>'Phân công team'!I4</x:f>
        <x:v>211</x:v>
      </x:c>
      <x:c r="G12" s="49" t="n">
        <x:f>'Phân công team'!J4</x:f>
        <x:v>2</x:v>
      </x:c>
      <x:c r="H12" s="49" t="n">
        <x:f>SUMIF('Work Packages'!$B$2:$B$76,$A12,'Work Packages'!$J$2:$J$76)</x:f>
        <x:v>220</x:v>
      </x:c>
      <x:c r="J12" t="str">
        <x:v>Hùng</x:v>
      </x:c>
      <x:c r="K12" t="n">
        <x:v>211</x:v>
      </x:c>
    </x:row>
    <x:row r="13">
      <x:c r="A13" s="49" t="str">
        <x:v>Khải</x:v>
      </x:c>
      <x:c r="B13" s="49" t="str">
        <x:v>Detection &amp; Reputation Inputs</x:v>
      </x:c>
      <x:c r="C13" s="49" t="n">
        <x:f>'Phân công team'!D5</x:f>
        <x:v>15</x:v>
      </x:c>
      <x:c r="D13" s="49" t="n">
        <x:f>'Phân công team'!E5</x:f>
        <x:v>100</x:v>
      </x:c>
      <x:c r="E13" s="49" t="n">
        <x:f>'Phân công team'!F5</x:f>
        <x:v>40</x:v>
      </x:c>
      <x:c r="F13" s="49" t="n">
        <x:f>'Phân công team'!I5</x:f>
        <x:v>215</x:v>
      </x:c>
      <x:c r="G13" s="49" t="n">
        <x:f>'Phân công team'!J5</x:f>
        <x:v>2</x:v>
      </x:c>
      <x:c r="H13" s="49" t="n">
        <x:f>SUMIF('Work Packages'!$B$2:$B$76,$A13,'Work Packages'!$J$2:$J$76)</x:f>
        <x:v>224</x:v>
      </x:c>
      <x:c r="J13" t="str">
        <x:v>Khải</x:v>
      </x:c>
      <x:c r="K13" t="n">
        <x:v>215</x:v>
      </x:c>
    </x:row>
    <x:row r="14">
      <x:c r="A14" s="49" t="str">
        <x:v>Kiên</x:v>
      </x:c>
      <x:c r="B14" s="49" t="str">
        <x:v>Decision Core &amp; Governance</x:v>
      </x:c>
      <x:c r="C14" s="49" t="n">
        <x:f>'Phân công team'!D6</x:f>
        <x:v>17</x:v>
      </x:c>
      <x:c r="D14" s="49" t="n">
        <x:f>'Phân công team'!E6</x:f>
        <x:v>96</x:v>
      </x:c>
      <x:c r="E14" s="49" t="n">
        <x:f>'Phân công team'!F6</x:f>
        <x:v>41</x:v>
      </x:c>
      <x:c r="F14" s="49" t="n">
        <x:f>'Phân công team'!I6</x:f>
        <x:v>211</x:v>
      </x:c>
      <x:c r="G14" s="49" t="n">
        <x:f>'Phân công team'!J6</x:f>
        <x:v>2</x:v>
      </x:c>
      <x:c r="H14" s="49" t="n">
        <x:f>SUMIF('Work Packages'!$B$2:$B$76,$A14,'Work Packages'!$J$2:$J$76)</x:f>
        <x:v>219</x:v>
      </x:c>
      <x:c r="J14" t="str">
        <x:v>Kiên</x:v>
      </x:c>
      <x:c r="K14" t="n">
        <x:v>211</x:v>
      </x:c>
    </x:row>
    <x:row r="15">
      <x:c r="A15" s="49" t="str">
        <x:v>Thắng</x:v>
      </x:c>
      <x:c r="B15" s="49" t="str">
        <x:v>Content, QR, Result &amp; AI</x:v>
      </x:c>
      <x:c r="C15" s="49" t="n">
        <x:f>'Phân công team'!D7</x:f>
        <x:v>18</x:v>
      </x:c>
      <x:c r="D15" s="49" t="n">
        <x:f>'Phân công team'!E7</x:f>
        <x:v>99</x:v>
      </x:c>
      <x:c r="E15" s="49" t="n">
        <x:f>'Phân công team'!F7</x:f>
        <x:v>39</x:v>
      </x:c>
      <x:c r="F15" s="49" t="n">
        <x:f>'Phân công team'!I7</x:f>
        <x:v>210</x:v>
      </x:c>
      <x:c r="G15" s="49" t="n">
        <x:f>'Phân công team'!J7</x:f>
        <x:v>2</x:v>
      </x:c>
      <x:c r="H15" s="49" t="n">
        <x:f>SUMIF('Work Packages'!$B$2:$B$76,$A15,'Work Packages'!$J$2:$J$76)</x:f>
        <x:v>217</x:v>
      </x:c>
      <x:c r="J15" t="str">
        <x:v>Thắng</x:v>
      </x:c>
      <x:c r="K15" t="n">
        <x:v>210</x:v>
      </x:c>
    </x:row>
    <x:row r="16">
      <x:c r="A16" s="47"/>
      <x:c r="B16" s="47"/>
      <x:c r="C16" s="47"/>
      <x:c r="D16" s="47"/>
      <x:c r="E16" s="47"/>
      <x:c r="F16" s="47"/>
      <x:c r="G16" s="47"/>
      <x:c r="H16" s="47"/>
    </x:row>
    <x:row r="17" ht="28" customHeight="1">
      <x:c r="A17" s="46" t="str">
        <x:v>Kiểm tra cân bằng</x:v>
      </x:c>
      <x:c r="B17" s="46" t="str">
        <x:v>M01–M14</x:v>
      </x:c>
      <x:c r="C17" s="51" t="str">
        <x:v>Kể cả Future</x:v>
      </x:c>
      <x:c r="D17" s="51" t="str"/>
      <x:c r="E17" s="51" t="str"/>
      <x:c r="F17" s="51" t="str"/>
      <x:c r="G17" s="51" t="str"/>
      <x:c r="H17" s="51" t="str"/>
    </x:row>
    <x:row r="18">
      <x:c r="A18" s="47" t="str">
        <x:v>Khoảng workload</x:v>
      </x:c>
      <x:c r="B18" s="47" t="str">
        <x:v>210–215</x:v>
      </x:c>
      <x:c r="C18" s="47" t="str">
        <x:v>217–224</x:v>
      </x:c>
      <x:c r="D18" s="49" t="str">
        <x:v>Không còn feature chưa có owner hiện tại.</x:v>
      </x:c>
      <x:c r="E18" s="49" t="str"/>
      <x:c r="F18" s="49" t="str"/>
      <x:c r="G18" s="49" t="str"/>
      <x:c r="H18" s="49" t="str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2"/>
      <x:c r="B20" s="32"/>
      <x:c r="C20" s="32"/>
      <x:c r="D20" s="32"/>
      <x:c r="E20" s="32"/>
      <x:c r="F20" s="32"/>
      <x:c r="G20" s="32"/>
      <x:c r="H20" s="32"/>
    </x:row>
  </x:sheetData>
  <x:mergeCells>
    <x:mergeCell ref="A1:H1"/>
    <x:mergeCell ref="A2:H2"/>
    <x:mergeCell ref="E5:H5"/>
    <x:mergeCell ref="E6:H6"/>
    <x:mergeCell ref="E7:H7"/>
    <x:mergeCell ref="E8:H8"/>
    <x:mergeCell ref="A10:H10"/>
    <x:mergeCell ref="D18:H18"/>
  </x:mergeCells>
  <x:pageMargins left="0.7" right="0.7" top="0.75" bottom="0.75" header="0.3" footer="0.3"/>
  <x:drawing xmlns:r="http://schemas.openxmlformats.org/officeDocument/2006/relationships" r:id="Rf0ec3a7af4764e10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52" hidden="0" customWidth="1"/>
    <x:col min="5" max="5" width="12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0" hidden="0" customWidth="1"/>
  </x:cols>
  <x:sheetData>
    <x:row r="1" ht="28" customHeight="1">
      <x:c r="A1" s="6" t="str">
        <x:v>Phân công team V2 — cân bằng và độc lập theo Work Package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28" customHeight="1">
      <x:c r="A3" s="68" t="str">
        <x:v>Thành viên</x:v>
      </x:c>
      <x:c r="B3" s="68" t="str">
        <x:v>Workstream</x:v>
      </x:c>
      <x:c r="C3" s="68" t="str">
        <x:v>Module</x:v>
      </x:c>
      <x:c r="D3" s="68" t="str">
        <x:v>WP M01–M14</x:v>
      </x:c>
      <x:c r="E3" s="68" t="str">
        <x:v>Feature</x:v>
      </x:c>
      <x:c r="F3" s="68" t="str">
        <x:v>P0</x:v>
      </x:c>
      <x:c r="G3" s="68" t="str">
        <x:v>P1</x:v>
      </x:c>
      <x:c r="H3" s="68" t="str">
        <x:v>P2</x:v>
      </x:c>
      <x:c r="I3" s="68" t="str">
        <x:v>Workload</x:v>
      </x:c>
      <x:c r="J3" s="68" t="str">
        <x:v>Future WP</x:v>
      </x:c>
    </x:row>
    <x:row r="4">
      <x:c r="A4" s="59" t="str">
        <x:v>Hùng</x:v>
      </x:c>
      <x:c r="B4" s="59" t="str">
        <x:v>Identity, Delivery &amp; Runtime</x:v>
      </x:c>
      <x:c r="C4" s="59" t="str">
        <x:v>M01, M10, M13</x:v>
      </x:c>
      <x:c r="D4" s="59" t="n">
        <x:f>COUNTIFS('Work Packages'!$B$2:$B$76,$A4,'Work Packages'!$K$2:$K$76,"NO")</x:f>
        <x:v>17</x:v>
      </x:c>
      <x:c r="E4" s="59" t="n">
        <x:f>SUMIFS('Work Packages'!$F$2:$F$76,'Work Packages'!$B$2:$B$76,$A4,'Work Packages'!$K$2:$K$76,"NO")</x:f>
        <x:v>94</x:v>
      </x:c>
      <x:c r="F4" s="59" t="n">
        <x:f>SUMIFS('Work Packages'!$G$2:$G$76,'Work Packages'!$B$2:$B$76,$A4,'Work Packages'!$K$2:$K$76,"NO")</x:f>
        <x:v>41</x:v>
      </x:c>
      <x:c r="G4" s="59" t="n">
        <x:f>SUMIFS('Work Packages'!$H$2:$H$76,'Work Packages'!$B$2:$B$76,$A4,'Work Packages'!$K$2:$K$76,"NO")</x:f>
        <x:v>35</x:v>
      </x:c>
      <x:c r="H4" s="59" t="n">
        <x:f>SUMIFS('Work Packages'!$I$2:$I$76,'Work Packages'!$B$2:$B$76,$A4,'Work Packages'!$K$2:$K$76,"NO")</x:f>
        <x:v>18</x:v>
      </x:c>
      <x:c r="I4" s="59" t="n">
        <x:f>SUMIFS('Work Packages'!$J$2:$J$76,'Work Packages'!$B$2:$B$76,$A4,'Work Packages'!$K$2:$K$76,"NO")</x:f>
        <x:v>211</x:v>
      </x:c>
      <x:c r="J4" s="59" t="n">
        <x:f>COUNTIFS('Work Packages'!$B$2:$B$76,$A4,'Work Packages'!$K$2:$K$76,"YES")</x:f>
        <x:v>2</x:v>
      </x:c>
    </x:row>
    <x:row r="5">
      <x:c r="A5" s="59" t="str">
        <x:v>Khải</x:v>
      </x:c>
      <x:c r="B5" s="59" t="str">
        <x:v>Detection &amp; Reputation Inputs</x:v>
      </x:c>
      <x:c r="C5" s="59" t="str">
        <x:v>M02, M04, M07</x:v>
      </x:c>
      <x:c r="D5" s="59" t="n">
        <x:f>COUNTIFS('Work Packages'!$B$2:$B$76,$A5,'Work Packages'!$K$2:$K$76,"NO")</x:f>
        <x:v>15</x:v>
      </x:c>
      <x:c r="E5" s="59" t="n">
        <x:f>SUMIFS('Work Packages'!$F$2:$F$76,'Work Packages'!$B$2:$B$76,$A5,'Work Packages'!$K$2:$K$76,"NO")</x:f>
        <x:v>100</x:v>
      </x:c>
      <x:c r="F5" s="59" t="n">
        <x:f>SUMIFS('Work Packages'!$G$2:$G$76,'Work Packages'!$B$2:$B$76,$A5,'Work Packages'!$K$2:$K$76,"NO")</x:f>
        <x:v>40</x:v>
      </x:c>
      <x:c r="G5" s="59" t="n">
        <x:f>SUMIFS('Work Packages'!$H$2:$H$76,'Work Packages'!$B$2:$B$76,$A5,'Work Packages'!$K$2:$K$76,"NO")</x:f>
        <x:v>35</x:v>
      </x:c>
      <x:c r="H5" s="59" t="n">
        <x:f>SUMIFS('Work Packages'!$I$2:$I$76,'Work Packages'!$B$2:$B$76,$A5,'Work Packages'!$K$2:$K$76,"NO")</x:f>
        <x:v>25</x:v>
      </x:c>
      <x:c r="I5" s="59" t="n">
        <x:f>SUMIFS('Work Packages'!$J$2:$J$76,'Work Packages'!$B$2:$B$76,$A5,'Work Packages'!$K$2:$K$76,"NO")</x:f>
        <x:v>215</x:v>
      </x:c>
      <x:c r="J5" s="59" t="n">
        <x:f>COUNTIFS('Work Packages'!$B$2:$B$76,$A5,'Work Packages'!$K$2:$K$76,"YES")</x:f>
        <x:v>2</x:v>
      </x:c>
    </x:row>
    <x:row r="6">
      <x:c r="A6" s="59" t="str">
        <x:v>Kiên</x:v>
      </x:c>
      <x:c r="B6" s="59" t="str">
        <x:v>Decision Core &amp; Governance</x:v>
      </x:c>
      <x:c r="C6" s="59" t="str">
        <x:v>M08, M09, M12, M14</x:v>
      </x:c>
      <x:c r="D6" s="59" t="n">
        <x:f>COUNTIFS('Work Packages'!$B$2:$B$76,$A6,'Work Packages'!$K$2:$K$76,"NO")</x:f>
        <x:v>17</x:v>
      </x:c>
      <x:c r="E6" s="59" t="n">
        <x:f>SUMIFS('Work Packages'!$F$2:$F$76,'Work Packages'!$B$2:$B$76,$A6,'Work Packages'!$K$2:$K$76,"NO")</x:f>
        <x:v>96</x:v>
      </x:c>
      <x:c r="F6" s="59" t="n">
        <x:f>SUMIFS('Work Packages'!$G$2:$G$76,'Work Packages'!$B$2:$B$76,$A6,'Work Packages'!$K$2:$K$76,"NO")</x:f>
        <x:v>41</x:v>
      </x:c>
      <x:c r="G6" s="59" t="n">
        <x:f>SUMIFS('Work Packages'!$H$2:$H$76,'Work Packages'!$B$2:$B$76,$A6,'Work Packages'!$K$2:$K$76,"NO")</x:f>
        <x:v>33</x:v>
      </x:c>
      <x:c r="H6" s="59" t="n">
        <x:f>SUMIFS('Work Packages'!$I$2:$I$76,'Work Packages'!$B$2:$B$76,$A6,'Work Packages'!$K$2:$K$76,"NO")</x:f>
        <x:v>22</x:v>
      </x:c>
      <x:c r="I6" s="59" t="n">
        <x:f>SUMIFS('Work Packages'!$J$2:$J$76,'Work Packages'!$B$2:$B$76,$A6,'Work Packages'!$K$2:$K$76,"NO")</x:f>
        <x:v>211</x:v>
      </x:c>
      <x:c r="J6" s="59" t="n">
        <x:f>COUNTIFS('Work Packages'!$B$2:$B$76,$A6,'Work Packages'!$K$2:$K$76,"YES")</x:f>
        <x:v>2</x:v>
      </x:c>
    </x:row>
    <x:row r="7">
      <x:c r="A7" s="59" t="str">
        <x:v>Thắng</x:v>
      </x:c>
      <x:c r="B7" s="59" t="str">
        <x:v>Content, QR, Result &amp; AI</x:v>
      </x:c>
      <x:c r="C7" s="59" t="str">
        <x:v>M03, M05, M06, M11</x:v>
      </x:c>
      <x:c r="D7" s="59" t="n">
        <x:f>COUNTIFS('Work Packages'!$B$2:$B$76,$A7,'Work Packages'!$K$2:$K$76,"NO")</x:f>
        <x:v>18</x:v>
      </x:c>
      <x:c r="E7" s="59" t="n">
        <x:f>SUMIFS('Work Packages'!$F$2:$F$76,'Work Packages'!$B$2:$B$76,$A7,'Work Packages'!$K$2:$K$76,"NO")</x:f>
        <x:v>99</x:v>
      </x:c>
      <x:c r="F7" s="59" t="n">
        <x:f>SUMIFS('Work Packages'!$G$2:$G$76,'Work Packages'!$B$2:$B$76,$A7,'Work Packages'!$K$2:$K$76,"NO")</x:f>
        <x:v>39</x:v>
      </x:c>
      <x:c r="G7" s="59" t="n">
        <x:f>SUMIFS('Work Packages'!$H$2:$H$76,'Work Packages'!$B$2:$B$76,$A7,'Work Packages'!$K$2:$K$76,"NO")</x:f>
        <x:v>33</x:v>
      </x:c>
      <x:c r="H7" s="59" t="n">
        <x:f>SUMIFS('Work Packages'!$I$2:$I$76,'Work Packages'!$B$2:$B$76,$A7,'Work Packages'!$K$2:$K$76,"NO")</x:f>
        <x:v>27</x:v>
      </x:c>
      <x:c r="I7" s="59" t="n">
        <x:f>SUMIFS('Work Packages'!$J$2:$J$76,'Work Packages'!$B$2:$B$76,$A7,'Work Packages'!$K$2:$K$76,"NO")</x:f>
        <x:v>210</x:v>
      </x:c>
      <x:c r="J7" s="59" t="n">
        <x:f>COUNTIFS('Work Packages'!$B$2:$B$76,$A7,'Work Packages'!$K$2:$K$76,"YES")</x:f>
        <x:v>2</x:v>
      </x:c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</x:row>
    <x:row r="9">
      <x:c r="A9" s="61" t="str">
        <x:v>Integration seams / cách làm độc lập</x:v>
      </x:c>
      <x:c r="B9" s="61"/>
      <x:c r="C9" s="61"/>
      <x:c r="D9" s="61"/>
      <x:c r="E9" s="61"/>
      <x:c r="F9" s="61"/>
      <x:c r="G9" s="61"/>
      <x:c r="H9" s="61"/>
      <x:c r="I9" s="61"/>
      <x:c r="J9" s="61"/>
    </x:row>
    <x:row r="10" ht="28" customHeight="1">
      <x:c r="A10" s="68" t="str">
        <x:v>Producer / Owner</x:v>
      </x:c>
      <x:c r="B10" s="68" t="str">
        <x:v>Contract seam</x:v>
      </x:c>
      <x:c r="C10" s="68" t="str">
        <x:v>Consumer / Owner</x:v>
      </x:c>
      <x:c r="D10" s="68" t="str">
        <x:v>Cách dev độc lập</x:v>
      </x:c>
      <x:c r="E10" s="60"/>
      <x:c r="F10" s="60"/>
      <x:c r="G10" s="60"/>
      <x:c r="H10" s="60"/>
      <x:c r="I10" s="60"/>
      <x:c r="J10" s="60"/>
    </x:row>
    <x:row r="11">
      <x:c r="A11" s="59" t="str">
        <x:v>Hùng / M01</x:v>
      </x:c>
      <x:c r="B11" s="59" t="str">
        <x:v>AccessContext</x:v>
      </x:c>
      <x:c r="C11" s="59" t="str">
        <x:v>Kiên / M12, scan modules</x:v>
      </x:c>
      <x:c r="D11" s="59" t="str">
        <x:v>FakeAccessContextResolver + guest/free fixtures</x:v>
      </x:c>
      <x:c r="E11" s="60"/>
      <x:c r="F11" s="60"/>
      <x:c r="G11" s="60"/>
      <x:c r="H11" s="60"/>
      <x:c r="I11" s="60"/>
      <x:c r="J11" s="60"/>
    </x:row>
    <x:row r="12">
      <x:c r="A12" s="59" t="str">
        <x:v>Hùng / M10</x:v>
      </x:c>
      <x:c r="B12" s="59" t="str">
        <x:v>NotificationPort + notification.requested</x:v>
      </x:c>
      <x:c r="C12" s="59" t="str">
        <x:v>M01/M06/M07/M12/M14</x:v>
      </x:c>
      <x:c r="D12" s="59" t="str">
        <x:v>MockNotificationPort + seeded events</x:v>
      </x:c>
      <x:c r="E12" s="60"/>
      <x:c r="F12" s="60"/>
      <x:c r="G12" s="60"/>
      <x:c r="H12" s="60"/>
      <x:c r="I12" s="60"/>
      <x:c r="J12" s="60"/>
    </x:row>
    <x:row r="13">
      <x:c r="A13" s="59" t="str">
        <x:v>Khải / M02/M04/M07</x:v>
      </x:c>
      <x:c r="B13" s="59" t="str">
        <x:v>worker result / reputation / report events</x:v>
      </x:c>
      <x:c r="C13" s="59" t="str">
        <x:v>Kiên / M08/M09/M12</x:v>
      </x:c>
      <x:c r="D13" s="59" t="str">
        <x:v>FakeMessageBus + MockThreatQuery + verified-report fixtures</x:v>
      </x:c>
      <x:c r="E13" s="60"/>
      <x:c r="F13" s="60"/>
      <x:c r="G13" s="60"/>
      <x:c r="H13" s="60"/>
      <x:c r="I13" s="60"/>
      <x:c r="J13" s="60"/>
    </x:row>
    <x:row r="14">
      <x:c r="A14" s="59" t="str">
        <x:v>Kiên / M08</x:v>
      </x:c>
      <x:c r="B14" s="59" t="str">
        <x:v>ThreatQuery / ReputationContext</x:v>
      </x:c>
      <x:c r="C14" s="59" t="str">
        <x:v>Khải/Thắng scan modules</x:v>
      </x:c>
      <x:c r="D14" s="59" t="str">
        <x:v>MockThreatQuery + reputation fixtures</x:v>
      </x:c>
      <x:c r="E14" s="60"/>
      <x:c r="F14" s="60"/>
      <x:c r="G14" s="60"/>
      <x:c r="H14" s="60"/>
      <x:c r="I14" s="60"/>
      <x:c r="J14" s="60"/>
    </x:row>
    <x:row r="15">
      <x:c r="A15" s="59" t="str">
        <x:v>Kiên / M09</x:v>
      </x:c>
      <x:c r="B15" s="59" t="str">
        <x:v>RiskEvaluationPort</x:v>
      </x:c>
      <x:c r="C15" s="59" t="str">
        <x:v>M02–M06 / M12</x:v>
      </x:c>
      <x:c r="D15" s="59" t="str">
        <x:v>deterministic signal fixtures + MockRiskEvaluationPort</x:v>
      </x:c>
      <x:c r="E15" s="60"/>
      <x:c r="F15" s="60"/>
      <x:c r="G15" s="60"/>
      <x:c r="H15" s="60"/>
      <x:c r="I15" s="60"/>
      <x:c r="J15" s="60"/>
    </x:row>
    <x:row r="16">
      <x:c r="A16" s="59" t="str">
        <x:v>Kiên / M12</x:v>
      </x:c>
      <x:c r="B16" s="59" t="str">
        <x:v>scan lifecycle + job/result events</x:v>
      </x:c>
      <x:c r="C16" s="59" t="str">
        <x:v>Khải/Thắng workers, Hùng/M10</x:v>
      </x:c>
      <x:c r="D16" s="59" t="str">
        <x:v>fake scan-platform adapter + worker/AI fixtures</x:v>
      </x:c>
      <x:c r="E16" s="60"/>
      <x:c r="F16" s="60"/>
      <x:c r="G16" s="60"/>
      <x:c r="H16" s="60"/>
      <x:c r="I16" s="60"/>
      <x:c r="J16" s="60"/>
    </x:row>
    <x:row r="17">
      <x:c r="A17" s="59" t="str">
        <x:v>Thắng / M11</x:v>
      </x:c>
      <x:c r="B17" s="59" t="str">
        <x:v>AI task/result contract</x:v>
      </x:c>
      <x:c r="C17" s="59" t="str">
        <x:v>Kiên / M12/M09; M02/M03</x:v>
      </x:c>
      <x:c r="D17" s="59" t="str">
        <x:v>ai request/result fixtures + mock AI result</x:v>
      </x:c>
      <x:c r="E17" s="60"/>
      <x:c r="F17" s="60"/>
      <x:c r="G17" s="60"/>
      <x:c r="H17" s="60"/>
      <x:c r="I17" s="60"/>
      <x:c r="J17" s="60"/>
    </x:row>
    <x:row r="18">
      <x:c r="A18" s="59" t="str">
        <x:v>Hùng / M13</x:v>
      </x:c>
      <x:c r="B18" s="59" t="str">
        <x:v>runtime/config topology</x:v>
      </x:c>
      <x:c r="C18" s="59" t="str">
        <x:v>toàn team</x:v>
      </x:c>
      <x:c r="D18" s="59" t="str">
        <x:v>local compose + test doubles; không chờ production infra</x:v>
      </x:c>
      <x:c r="E18" s="60"/>
      <x:c r="F18" s="60"/>
      <x:c r="G18" s="60"/>
      <x:c r="H18" s="60"/>
      <x:c r="I18" s="60"/>
      <x:c r="J18" s="60"/>
    </x:row>
  </x:sheetData>
  <x:mergeCells>
    <x:mergeCell ref="A1:J1"/>
    <x:mergeCell ref="A9:J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38" hidden="0" customWidth="1"/>
    <x:col min="5" max="5" width="55" hidden="0" customWidth="1"/>
    <x:col min="6" max="6" width="12" hidden="0" customWidth="1"/>
    <x:col min="7" max="7" width="8" hidden="0" customWidth="1"/>
    <x:col min="8" max="8" width="8" hidden="0" customWidth="1"/>
    <x:col min="9" max="9" width="8" hidden="0" customWidth="1"/>
    <x:col min="10" max="10" width="10" hidden="0" customWidth="1"/>
    <x:col min="11" max="11" width="10" hidden="0" customWidth="1"/>
    <x:col min="12" max="12" width="58" hidden="0" customWidth="1"/>
  </x:cols>
  <x:sheetData>
    <x:row r="1" ht="28" customHeight="1">
      <x:c r="A1" s="68" t="str">
        <x:v>WP</x:v>
      </x:c>
      <x:c r="B1" s="68" t="str">
        <x:v>Owner</x:v>
      </x:c>
      <x:c r="C1" s="68" t="str">
        <x:v>Module</x:v>
      </x:c>
      <x:c r="D1" s="68" t="str">
        <x:v>Work Package</x:v>
      </x:c>
      <x:c r="E1" s="68" t="str">
        <x:v>Feature IDs</x:v>
      </x:c>
      <x:c r="F1" s="68" t="str">
        <x:v>Feature count</x:v>
      </x:c>
      <x:c r="G1" s="68" t="str">
        <x:v>P0</x:v>
      </x:c>
      <x:c r="H1" s="68" t="str">
        <x:v>P1</x:v>
      </x:c>
      <x:c r="I1" s="68" t="str">
        <x:v>P2</x:v>
      </x:c>
      <x:c r="J1" s="68" t="str">
        <x:v>Workload</x:v>
      </x:c>
      <x:c r="K1" s="68" t="str">
        <x:v>Future?</x:v>
      </x:c>
      <x:c r="L1" s="68" t="str">
        <x:v>Mock / contract boundary</x:v>
      </x:c>
    </x:row>
    <x:row r="2" ht="42" customHeight="1">
      <x:c r="A2" s="49" t="str">
        <x:v>H-WP01</x:v>
      </x:c>
      <x:c r="B2" s="49" t="str">
        <x:v>Hùng</x:v>
      </x:c>
      <x:c r="C2" s="49" t="str">
        <x:v>M01</x:v>
      </x:c>
      <x:c r="D2" s="49" t="str">
        <x:v>Local Registration &amp; Email Verification</x:v>
      </x:c>
      <x:c r="E2" s="49" t="str">
        <x:v>M01-F001, M01-F002, M01-F003, M01-F004, M01-F005</x:v>
      </x:c>
      <x:c r="F2" s="49" t="n">
        <x:v>5</x:v>
      </x:c>
      <x:c r="G2" s="49" t="n">
        <x:v>4</x:v>
      </x:c>
      <x:c r="H2" s="49" t="n">
        <x:v>1</x:v>
      </x:c>
      <x:c r="I2" s="49" t="n">
        <x:v>0</x:v>
      </x:c>
      <x:c r="J2" s="49" t="n">
        <x:v>14</x:v>
      </x:c>
      <x:c r="K2" s="49" t="str">
        <x:v>NO</x:v>
      </x:c>
      <x:c r="L2" s="49" t="str">
        <x:v>MockNotificationPort + FakeAccessContext/EntitlementContext; external IdP behind adapter</x:v>
      </x:c>
    </x:row>
    <x:row r="3" ht="42" customHeight="1">
      <x:c r="A3" s="49" t="str">
        <x:v>H-WP02</x:v>
      </x:c>
      <x:c r="B3" s="49" t="str">
        <x:v>Hùng</x:v>
      </x:c>
      <x:c r="C3" s="49" t="str">
        <x:v>M01</x:v>
      </x:c>
      <x:c r="D3" s="49" t="str">
        <x:v>External Identity, Guest Access &amp; Account Linking</x:v>
      </x:c>
      <x:c r="E3" s="49" t="str">
        <x:v>M01-F006, M01-F007, M01-F019, M01-F020</x:v>
      </x:c>
      <x:c r="F3" s="49" t="n">
        <x:v>4</x:v>
      </x:c>
      <x:c r="G3" s="49" t="n">
        <x:v>3</x:v>
      </x:c>
      <x:c r="H3" s="49" t="n">
        <x:v>1</x:v>
      </x:c>
      <x:c r="I3" s="49" t="n">
        <x:v>0</x:v>
      </x:c>
      <x:c r="J3" s="49" t="n">
        <x:v>11</x:v>
      </x:c>
      <x:c r="K3" s="49" t="str">
        <x:v>NO</x:v>
      </x:c>
      <x:c r="L3" s="49" t="str">
        <x:v>MockNotificationPort + FakeAccessContext/EntitlementContext; external IdP behind adapter</x:v>
      </x:c>
    </x:row>
    <x:row r="4" ht="42" customHeight="1">
      <x:c r="A4" s="49" t="str">
        <x:v>H-WP03</x:v>
      </x:c>
      <x:c r="B4" s="49" t="str">
        <x:v>Hùng</x:v>
      </x:c>
      <x:c r="C4" s="49" t="str">
        <x:v>M01</x:v>
      </x:c>
      <x:c r="D4" s="49" t="str">
        <x:v>Session &amp; Token Security</x:v>
      </x:c>
      <x:c r="E4" s="49" t="str">
        <x:v>M01-F008, M01-F009, M01-F010, M01-F011, M01-F012, M01-F013, M01-F014, M01-F041</x:v>
      </x:c>
      <x:c r="F4" s="49" t="n">
        <x:v>8</x:v>
      </x:c>
      <x:c r="G4" s="49" t="n">
        <x:v>6</x:v>
      </x:c>
      <x:c r="H4" s="49" t="n">
        <x:v>2</x:v>
      </x:c>
      <x:c r="I4" s="49" t="n">
        <x:v>0</x:v>
      </x:c>
      <x:c r="J4" s="49" t="n">
        <x:v>22</x:v>
      </x:c>
      <x:c r="K4" s="49" t="str">
        <x:v>NO</x:v>
      </x:c>
      <x:c r="L4" s="49" t="str">
        <x:v>MockNotificationPort + FakeAccessContext/EntitlementContext; external IdP behind adapter</x:v>
      </x:c>
    </x:row>
    <x:row r="5" ht="42" customHeight="1">
      <x:c r="A5" s="49" t="str">
        <x:v>H-WP04</x:v>
      </x:c>
      <x:c r="B5" s="49" t="str">
        <x:v>Hùng</x:v>
      </x:c>
      <x:c r="C5" s="49" t="str">
        <x:v>M01</x:v>
      </x:c>
      <x:c r="D5" s="49" t="str">
        <x:v>Profile, Password Lifecycle &amp; Privacy</x:v>
      </x:c>
      <x:c r="E5" s="49" t="str">
        <x:v>M01-F015, M01-F016, M01-F017, M01-F018, M01-F038, M01-F039, M01-F040</x:v>
      </x:c>
      <x:c r="F5" s="49" t="n">
        <x:v>7</x:v>
      </x:c>
      <x:c r="G5" s="49" t="n">
        <x:v>3</x:v>
      </x:c>
      <x:c r="H5" s="49" t="n">
        <x:v>3</x:v>
      </x:c>
      <x:c r="I5" s="49" t="n">
        <x:v>1</x:v>
      </x:c>
      <x:c r="J5" s="49" t="n">
        <x:v>16</x:v>
      </x:c>
      <x:c r="K5" s="49" t="str">
        <x:v>NO</x:v>
      </x:c>
      <x:c r="L5" s="49" t="str">
        <x:v>MockNotificationPort + FakeAccessContext/EntitlementContext; external IdP behind adapter</x:v>
      </x:c>
    </x:row>
    <x:row r="6" ht="42" customHeight="1">
      <x:c r="A6" s="49" t="str">
        <x:v>H-WP05</x:v>
      </x:c>
      <x:c r="B6" s="49" t="str">
        <x:v>Hùng</x:v>
      </x:c>
      <x:c r="C6" s="49" t="str">
        <x:v>M01</x:v>
      </x:c>
      <x:c r="D6" s="49" t="str">
        <x:v>RBAC &amp; User Administration</x:v>
      </x:c>
      <x:c r="E6" s="49" t="str">
        <x:v>M01-F021, M01-F022, M01-F023, M01-F024, M01-F025, M01-F026, M01-F027</x:v>
      </x:c>
      <x:c r="F6" s="49" t="n">
        <x:v>7</x:v>
      </x:c>
      <x:c r="G6" s="49" t="n">
        <x:v>3</x:v>
      </x:c>
      <x:c r="H6" s="49" t="n">
        <x:v>3</x:v>
      </x:c>
      <x:c r="I6" s="49" t="n">
        <x:v>1</x:v>
      </x:c>
      <x:c r="J6" s="49" t="n">
        <x:v>16</x:v>
      </x:c>
      <x:c r="K6" s="49" t="str">
        <x:v>NO</x:v>
      </x:c>
      <x:c r="L6" s="49" t="str">
        <x:v>MockNotificationPort + FakeAccessContext/EntitlementContext; external IdP behind adapter</x:v>
      </x:c>
    </x:row>
    <x:row r="7" ht="42" customHeight="1">
      <x:c r="A7" s="49" t="str">
        <x:v>H-WP06</x:v>
      </x:c>
      <x:c r="B7" s="49" t="str">
        <x:v>Hùng</x:v>
      </x:c>
      <x:c r="C7" s="49" t="str">
        <x:v>M01</x:v>
      </x:c>
      <x:c r="D7" s="49" t="str">
        <x:v>Advanced Account Security</x:v>
      </x:c>
      <x:c r="E7" s="49" t="str">
        <x:v>M01-F028, M01-F029, M01-F030, M01-F031, M01-F032, M01-F033</x:v>
      </x:c>
      <x:c r="F7" s="49" t="n">
        <x:v>6</x:v>
      </x:c>
      <x:c r="G7" s="49" t="n">
        <x:v>0</x:v>
      </x:c>
      <x:c r="H7" s="49" t="n">
        <x:v>3</x:v>
      </x:c>
      <x:c r="I7" s="49" t="n">
        <x:v>3</x:v>
      </x:c>
      <x:c r="J7" s="49" t="n">
        <x:v>9</x:v>
      </x:c>
      <x:c r="K7" s="49" t="str">
        <x:v>NO</x:v>
      </x:c>
      <x:c r="L7" s="49" t="str">
        <x:v>MockNotificationPort + FakeAccessContext/EntitlementContext; external IdP behind adapter</x:v>
      </x:c>
    </x:row>
    <x:row r="8" ht="42" customHeight="1">
      <x:c r="A8" s="49" t="str">
        <x:v>H-WP07</x:v>
      </x:c>
      <x:c r="B8" s="49" t="str">
        <x:v>Hùng</x:v>
      </x:c>
      <x:c r="C8" s="49" t="str">
        <x:v>M01</x:v>
      </x:c>
      <x:c r="D8" s="49" t="str">
        <x:v>Abuse Protection &amp; Account Quota</x:v>
      </x:c>
      <x:c r="E8" s="49" t="str">
        <x:v>M01-F034, M01-F035, M01-F036, M01-F037</x:v>
      </x:c>
      <x:c r="F8" s="49" t="n">
        <x:v>4</x:v>
      </x:c>
      <x:c r="G8" s="49" t="n">
        <x:v>3</x:v>
      </x:c>
      <x:c r="H8" s="49" t="n">
        <x:v>0</x:v>
      </x:c>
      <x:c r="I8" s="49" t="n">
        <x:v>1</x:v>
      </x:c>
      <x:c r="J8" s="49" t="n">
        <x:v>10</x:v>
      </x:c>
      <x:c r="K8" s="49" t="str">
        <x:v>NO</x:v>
      </x:c>
      <x:c r="L8" s="49" t="str">
        <x:v>MockNotificationPort + FakeAccessContext/EntitlementContext; external IdP behind adapter</x:v>
      </x:c>
    </x:row>
    <x:row r="9" ht="42" customHeight="1">
      <x:c r="A9" s="49" t="str">
        <x:v>H-WP08</x:v>
      </x:c>
      <x:c r="B9" s="49" t="str">
        <x:v>Hùng</x:v>
      </x:c>
      <x:c r="C9" s="49" t="str">
        <x:v>M10</x:v>
      </x:c>
      <x:c r="D9" s="49" t="str">
        <x:v>Notification Center &amp; User Follow-up UX</x:v>
      </x:c>
      <x:c r="E9" s="49" t="str">
        <x:v>M10-F001, M10-F002, M10-F004, M10-F005, M10-F006, M10-F007</x:v>
      </x:c>
      <x:c r="F9" s="49" t="n">
        <x:v>6</x:v>
      </x:c>
      <x:c r="G9" s="49" t="n">
        <x:v>0</x:v>
      </x:c>
      <x:c r="H9" s="49" t="n">
        <x:v>3</x:v>
      </x:c>
      <x:c r="I9" s="49" t="n">
        <x:v>3</x:v>
      </x:c>
      <x:c r="J9" s="49" t="n">
        <x:v>9</x:v>
      </x:c>
      <x:c r="K9" s="49" t="str">
        <x:v>NO</x:v>
      </x:c>
      <x:c r="L9" s="49" t="str">
        <x:v>InMemory/Console providers + MockNotificationPort + notification event fixtures</x:v>
      </x:c>
    </x:row>
    <x:row r="10" ht="42" customHeight="1">
      <x:c r="A10" s="49" t="str">
        <x:v>H-WP09</x:v>
      </x:c>
      <x:c r="B10" s="49" t="str">
        <x:v>Hùng</x:v>
      </x:c>
      <x:c r="C10" s="49" t="str">
        <x:v>M10</x:v>
      </x:c>
      <x:c r="D10" s="49" t="str">
        <x:v>Notification Delivery Reliability</x:v>
      </x:c>
      <x:c r="E10" s="49" t="str">
        <x:v>M10-F003, M10-F009, M10-F017</x:v>
      </x:c>
      <x:c r="F10" s="49" t="n">
        <x:v>3</x:v>
      </x:c>
      <x:c r="G10" s="49" t="n">
        <x:v>0</x:v>
      </x:c>
      <x:c r="H10" s="49" t="n">
        <x:v>3</x:v>
      </x:c>
      <x:c r="I10" s="49" t="n">
        <x:v>0</x:v>
      </x:c>
      <x:c r="J10" s="49" t="n">
        <x:v>6</x:v>
      </x:c>
      <x:c r="K10" s="49" t="str">
        <x:v>NO</x:v>
      </x:c>
      <x:c r="L10" s="49" t="str">
        <x:v>InMemory/Console providers + MockNotificationPort + notification event fixtures</x:v>
      </x:c>
    </x:row>
    <x:row r="11" ht="42" customHeight="1">
      <x:c r="A11" s="49" t="str">
        <x:v>H-WP10</x:v>
      </x:c>
      <x:c r="B11" s="49" t="str">
        <x:v>Hùng</x:v>
      </x:c>
      <x:c r="C11" s="49" t="str">
        <x:v>M10</x:v>
      </x:c>
      <x:c r="D11" s="49" t="str">
        <x:v>Notification Contract, Routing &amp; Channel Abstraction</x:v>
      </x:c>
      <x:c r="E11" s="49" t="str">
        <x:v>M10-F008, M10-F010, M10-F011, M10-F012</x:v>
      </x:c>
      <x:c r="F11" s="49" t="n">
        <x:v>4</x:v>
      </x:c>
      <x:c r="G11" s="49" t="n">
        <x:v>3</x:v>
      </x:c>
      <x:c r="H11" s="49" t="n">
        <x:v>1</x:v>
      </x:c>
      <x:c r="I11" s="49" t="n">
        <x:v>0</x:v>
      </x:c>
      <x:c r="J11" s="49" t="n">
        <x:v>11</x:v>
      </x:c>
      <x:c r="K11" s="49" t="str">
        <x:v>NO</x:v>
      </x:c>
      <x:c r="L11" s="49" t="str">
        <x:v>InMemory/Console providers + MockNotificationPort + notification event fixtures</x:v>
      </x:c>
    </x:row>
    <x:row r="12" ht="42" customHeight="1">
      <x:c r="A12" s="49" t="str">
        <x:v>H-WP11</x:v>
      </x:c>
      <x:c r="B12" s="49" t="str">
        <x:v>Hùng</x:v>
      </x:c>
      <x:c r="C12" s="49" t="str">
        <x:v>M10</x:v>
      </x:c>
      <x:c r="D12" s="49" t="str">
        <x:v>Notification Endpoints, Preferences, Templates &amp; Secret Safety</x:v>
      </x:c>
      <x:c r="E12" s="49" t="str">
        <x:v>M10-F013, M10-F014, M10-F015, M10-F016, M10-F018</x:v>
      </x:c>
      <x:c r="F12" s="49" t="n">
        <x:v>5</x:v>
      </x:c>
      <x:c r="G12" s="49" t="n">
        <x:v>1</x:v>
      </x:c>
      <x:c r="H12" s="49" t="n">
        <x:v>3</x:v>
      </x:c>
      <x:c r="I12" s="49" t="n">
        <x:v>1</x:v>
      </x:c>
      <x:c r="J12" s="49" t="n">
        <x:v>10</x:v>
      </x:c>
      <x:c r="K12" s="49" t="str">
        <x:v>NO</x:v>
      </x:c>
      <x:c r="L12" s="49" t="str">
        <x:v>InMemory/Console providers + MockNotificationPort + notification event fixtures</x:v>
      </x:c>
    </x:row>
    <x:row r="13" ht="42" customHeight="1">
      <x:c r="A13" s="49" t="str">
        <x:v>H-WP12</x:v>
      </x:c>
      <x:c r="B13" s="49" t="str">
        <x:v>Hùng</x:v>
      </x:c>
      <x:c r="C13" s="49" t="str">
        <x:v>M13</x:v>
      </x:c>
      <x:c r="D13" s="49" t="str">
        <x:v>Data Privacy &amp; Secret Baseline</x:v>
      </x:c>
      <x:c r="E13" s="49" t="str">
        <x:v>M13-F001, M13-F002, M13-F005, M13-F035</x:v>
      </x:c>
      <x:c r="F13" s="49" t="n">
        <x:v>4</x:v>
      </x:c>
      <x:c r="G13" s="49" t="n">
        <x:v>4</x:v>
      </x:c>
      <x:c r="H13" s="49" t="n">
        <x:v>0</x:v>
      </x:c>
      <x:c r="I13" s="49" t="n">
        <x:v>0</x:v>
      </x:c>
      <x:c r="J13" s="49" t="n">
        <x:v>12</x:v>
      </x:c>
      <x:c r="K13" s="49" t="str">
        <x:v>NO</x:v>
      </x:c>
      <x:c r="L13" s="49" t="str">
        <x:v>shared local compose + env templates + service test doubles; no business logic ownership</x:v>
      </x:c>
    </x:row>
    <x:row r="14" ht="42" customHeight="1">
      <x:c r="A14" s="49" t="str">
        <x:v>H-WP13</x:v>
      </x:c>
      <x:c r="B14" s="49" t="str">
        <x:v>Hùng</x:v>
      </x:c>
      <x:c r="C14" s="49" t="str">
        <x:v>M13</x:v>
      </x:c>
      <x:c r="D14" s="49" t="str">
        <x:v>Local Runtime, Containers &amp; Service Readiness</x:v>
      </x:c>
      <x:c r="E14" s="49" t="str">
        <x:v>M13-F003, M13-F004, M13-F006, M13-F007, M13-F008, M13-F009, M13-F010, M13-F011</x:v>
      </x:c>
      <x:c r="F14" s="49" t="n">
        <x:v>8</x:v>
      </x:c>
      <x:c r="G14" s="49" t="n">
        <x:v>3</x:v>
      </x:c>
      <x:c r="H14" s="49" t="n">
        <x:v>4</x:v>
      </x:c>
      <x:c r="I14" s="49" t="n">
        <x:v>1</x:v>
      </x:c>
      <x:c r="J14" s="49" t="n">
        <x:v>18</x:v>
      </x:c>
      <x:c r="K14" s="49" t="str">
        <x:v>NO</x:v>
      </x:c>
      <x:c r="L14" s="49" t="str">
        <x:v>shared local compose + env templates + service test doubles; no business logic ownership</x:v>
      </x:c>
    </x:row>
    <x:row r="15" ht="42" customHeight="1">
      <x:c r="A15" s="49" t="str">
        <x:v>H-WP14</x:v>
      </x:c>
      <x:c r="B15" s="49" t="str">
        <x:v>Hùng</x:v>
      </x:c>
      <x:c r="C15" s="49" t="str">
        <x:v>M13</x:v>
      </x:c>
      <x:c r="D15" s="49" t="str">
        <x:v>CI/CD &amp; Dependency Quality Gates</x:v>
      </x:c>
      <x:c r="E15" s="49" t="str">
        <x:v>M13-F012, M13-F013, M13-F014, M13-F015, M13-F016, M13-F017, M13-F020</x:v>
      </x:c>
      <x:c r="F15" s="49" t="n">
        <x:v>7</x:v>
      </x:c>
      <x:c r="G15" s="49" t="n">
        <x:v>2</x:v>
      </x:c>
      <x:c r="H15" s="49" t="n">
        <x:v>4</x:v>
      </x:c>
      <x:c r="I15" s="49" t="n">
        <x:v>1</x:v>
      </x:c>
      <x:c r="J15" s="49" t="n">
        <x:v>15</x:v>
      </x:c>
      <x:c r="K15" s="49" t="str">
        <x:v>NO</x:v>
      </x:c>
      <x:c r="L15" s="49" t="str">
        <x:v>shared local compose + env templates + service test doubles; no business logic ownership</x:v>
      </x:c>
    </x:row>
    <x:row r="16" ht="42" customHeight="1">
      <x:c r="A16" s="49" t="str">
        <x:v>H-WP15</x:v>
      </x:c>
      <x:c r="B16" s="49" t="str">
        <x:v>Hùng</x:v>
      </x:c>
      <x:c r="C16" s="49" t="str">
        <x:v>M13</x:v>
      </x:c>
      <x:c r="D16" s="49" t="str">
        <x:v>Runtime Metrics &amp; Alerting</x:v>
      </x:c>
      <x:c r="E16" s="49" t="str">
        <x:v>M13-F018, M13-F019</x:v>
      </x:c>
      <x:c r="F16" s="49" t="n">
        <x:v>2</x:v>
      </x:c>
      <x:c r="G16" s="49" t="n">
        <x:v>0</x:v>
      </x:c>
      <x:c r="H16" s="49" t="n">
        <x:v>0</x:v>
      </x:c>
      <x:c r="I16" s="49" t="n">
        <x:v>2</x:v>
      </x:c>
      <x:c r="J16" s="49" t="n">
        <x:v>2</x:v>
      </x:c>
      <x:c r="K16" s="49" t="str">
        <x:v>NO</x:v>
      </x:c>
      <x:c r="L16" s="49" t="str">
        <x:v>shared local compose + env templates + service test doubles; no business logic ownership</x:v>
      </x:c>
    </x:row>
    <x:row r="17" ht="42" customHeight="1">
      <x:c r="A17" s="49" t="str">
        <x:v>H-WP16</x:v>
      </x:c>
      <x:c r="B17" s="49" t="str">
        <x:v>Hùng</x:v>
      </x:c>
      <x:c r="C17" s="49" t="str">
        <x:v>M13</x:v>
      </x:c>
      <x:c r="D17" s="49" t="str">
        <x:v>Accessibility, i18n &amp; Mobile Entry Surfaces</x:v>
      </x:c>
      <x:c r="E17" s="49" t="str">
        <x:v>M13-F021, M13-F022, M13-F023, M13-F024, M13-F025, M13-F026, M13-F027, M13-F028, M13-F029</x:v>
      </x:c>
      <x:c r="F17" s="49" t="n">
        <x:v>9</x:v>
      </x:c>
      <x:c r="G17" s="49" t="n">
        <x:v>1</x:v>
      </x:c>
      <x:c r="H17" s="49" t="n">
        <x:v>4</x:v>
      </x:c>
      <x:c r="I17" s="49" t="n">
        <x:v>4</x:v>
      </x:c>
      <x:c r="J17" s="49" t="n">
        <x:v>15</x:v>
      </x:c>
      <x:c r="K17" s="49" t="str">
        <x:v>NO</x:v>
      </x:c>
      <x:c r="L17" s="49" t="str">
        <x:v>shared local compose + env templates + service test doubles; no business logic ownership</x:v>
      </x:c>
    </x:row>
    <x:row r="18" ht="42" customHeight="1">
      <x:c r="A18" s="49" t="str">
        <x:v>H-WP17</x:v>
      </x:c>
      <x:c r="B18" s="49" t="str">
        <x:v>Hùng</x:v>
      </x:c>
      <x:c r="C18" s="49" t="str">
        <x:v>M13</x:v>
      </x:c>
      <x:c r="D18" s="49" t="str">
        <x:v>Core Infrastructure Topology, Storage &amp; Network Boundaries</x:v>
      </x:c>
      <x:c r="E18" s="49" t="str">
        <x:v>M13-F030, M13-F031, M13-F032, M13-F033, M13-F034</x:v>
      </x:c>
      <x:c r="F18" s="49" t="n">
        <x:v>5</x:v>
      </x:c>
      <x:c r="G18" s="49" t="n">
        <x:v>5</x:v>
      </x:c>
      <x:c r="H18" s="49" t="n">
        <x:v>0</x:v>
      </x:c>
      <x:c r="I18" s="49" t="n">
        <x:v>0</x:v>
      </x:c>
      <x:c r="J18" s="49" t="n">
        <x:v>15</x:v>
      </x:c>
      <x:c r="K18" s="49" t="str">
        <x:v>NO</x:v>
      </x:c>
      <x:c r="L18" s="49" t="str">
        <x:v>shared local compose + env templates + service test doubles; no business logic ownership</x:v>
      </x:c>
    </x:row>
    <x:row r="19" ht="42" customHeight="1">
      <x:c r="A19" s="49" t="str">
        <x:v>K-WP01</x:v>
      </x:c>
      <x:c r="B19" s="49" t="str">
        <x:v>Khải</x:v>
      </x:c>
      <x:c r="C19" s="49" t="str">
        <x:v>M02</x:v>
      </x:c>
      <x:c r="D19" s="49" t="str">
        <x:v>URL Intake, Normalization, Cache &amp; Basic Signals</x:v>
      </x:c>
      <x:c r="E19" s="49" t="str">
        <x:v>M02-F001, M02-F002, M02-F003, M02-F004, M02-F005, M02-F006, M02-F007, M02-F008</x:v>
      </x:c>
      <x:c r="F19" s="49" t="n">
        <x:v>8</x:v>
      </x:c>
      <x:c r="G19" s="49" t="n">
        <x:v>5</x:v>
      </x:c>
      <x:c r="H19" s="49" t="n">
        <x:v>2</x:v>
      </x:c>
      <x:c r="I19" s="49" t="n">
        <x:v>1</x:v>
      </x:c>
      <x:c r="J19" s="49" t="n">
        <x:v>20</x:v>
      </x:c>
      <x:c r="K19" s="49" t="str">
        <x:v>NO</x:v>
      </x:c>
      <x:c r="L19" s="49" t="str">
        <x:v>FakeMessageBus + MockThreatQuery + RiskResult/worker fixtures; no direct DB/core call from worker</x:v>
      </x:c>
    </x:row>
    <x:row r="20" ht="42" customHeight="1">
      <x:c r="A20" s="49" t="str">
        <x:v>K-WP02</x:v>
      </x:c>
      <x:c r="B20" s="49" t="str">
        <x:v>Khải</x:v>
      </x:c>
      <x:c r="C20" s="49" t="str">
        <x:v>M02</x:v>
      </x:c>
      <x:c r="D20" s="49" t="str">
        <x:v>Safe Fetch &amp; SSRF Guard</x:v>
      </x:c>
      <x:c r="E20" s="49" t="str">
        <x:v>M02-F009, M02-F010, M02-F011, M02-F012, M02-F013, M02-F014, M02-F015, M02-F016</x:v>
      </x:c>
      <x:c r="F20" s="49" t="n">
        <x:v>8</x:v>
      </x:c>
      <x:c r="G20" s="49" t="n">
        <x:v>5</x:v>
      </x:c>
      <x:c r="H20" s="49" t="n">
        <x:v>2</x:v>
      </x:c>
      <x:c r="I20" s="49" t="n">
        <x:v>1</x:v>
      </x:c>
      <x:c r="J20" s="49" t="n">
        <x:v>20</x:v>
      </x:c>
      <x:c r="K20" s="49" t="str">
        <x:v>NO</x:v>
      </x:c>
      <x:c r="L20" s="49" t="str">
        <x:v>FakeMessageBus + MockThreatQuery + RiskResult/worker fixtures; no direct DB/core call from worker</x:v>
      </x:c>
    </x:row>
    <x:row r="21" ht="42" customHeight="1">
      <x:c r="A21" s="49" t="str">
        <x:v>K-WP03</x:v>
      </x:c>
      <x:c r="B21" s="49" t="str">
        <x:v>Khải</x:v>
      </x:c>
      <x:c r="C21" s="49" t="str">
        <x:v>M02</x:v>
      </x:c>
      <x:c r="D21" s="49" t="str">
        <x:v>Redirect Chain Analysis</x:v>
      </x:c>
      <x:c r="E21" s="49" t="str">
        <x:v>M02-F017, M02-F018, M02-F019, M02-F020, M02-F021, M02-F022, M02-F023</x:v>
      </x:c>
      <x:c r="F21" s="49" t="n">
        <x:v>7</x:v>
      </x:c>
      <x:c r="G21" s="49" t="n">
        <x:v>2</x:v>
      </x:c>
      <x:c r="H21" s="49" t="n">
        <x:v>3</x:v>
      </x:c>
      <x:c r="I21" s="49" t="n">
        <x:v>2</x:v>
      </x:c>
      <x:c r="J21" s="49" t="n">
        <x:v>14</x:v>
      </x:c>
      <x:c r="K21" s="49" t="str">
        <x:v>NO</x:v>
      </x:c>
      <x:c r="L21" s="49" t="str">
        <x:v>FakeMessageBus + MockThreatQuery + RiskResult/worker fixtures; no direct DB/core call from worker</x:v>
      </x:c>
    </x:row>
    <x:row r="22" ht="42" customHeight="1">
      <x:c r="A22" s="49" t="str">
        <x:v>K-WP04</x:v>
      </x:c>
      <x:c r="B22" s="49" t="str">
        <x:v>Khải</x:v>
      </x:c>
      <x:c r="C22" s="49" t="str">
        <x:v>M02</x:v>
      </x:c>
      <x:c r="D22" s="49" t="str">
        <x:v>TLS, Certificate &amp; Security Header Analysis</x:v>
      </x:c>
      <x:c r="E22" s="49" t="str">
        <x:v>M02-F024, M02-F025, M02-F026, M02-F027, M02-F028, M02-F029, M02-F030</x:v>
      </x:c>
      <x:c r="F22" s="49" t="n">
        <x:v>7</x:v>
      </x:c>
      <x:c r="G22" s="49" t="n">
        <x:v>2</x:v>
      </x:c>
      <x:c r="H22" s="49" t="n">
        <x:v>3</x:v>
      </x:c>
      <x:c r="I22" s="49" t="n">
        <x:v>2</x:v>
      </x:c>
      <x:c r="J22" s="49" t="n">
        <x:v>14</x:v>
      </x:c>
      <x:c r="K22" s="49" t="str">
        <x:v>NO</x:v>
      </x:c>
      <x:c r="L22" s="49" t="str">
        <x:v>FakeMessageBus + MockThreatQuery + RiskResult/worker fixtures; no direct DB/core call from worker</x:v>
      </x:c>
    </x:row>
    <x:row r="23" ht="42" customHeight="1">
      <x:c r="A23" s="49" t="str">
        <x:v>K-WP05</x:v>
      </x:c>
      <x:c r="B23" s="49" t="str">
        <x:v>Khải</x:v>
      </x:c>
      <x:c r="C23" s="49" t="str">
        <x:v>M02</x:v>
      </x:c>
      <x:c r="D23" s="49" t="str">
        <x:v>HTML/Form &amp; Web Content Analysis</x:v>
      </x:c>
      <x:c r="E23" s="49" t="str">
        <x:v>M02-F031, M02-F032, M02-F033, M02-F034, M02-F035, M02-F036, M02-F037, M02-F038</x:v>
      </x:c>
      <x:c r="F23" s="49" t="n">
        <x:v>8</x:v>
      </x:c>
      <x:c r="G23" s="49" t="n">
        <x:v>3</x:v>
      </x:c>
      <x:c r="H23" s="49" t="n">
        <x:v>3</x:v>
      </x:c>
      <x:c r="I23" s="49" t="n">
        <x:v>2</x:v>
      </x:c>
      <x:c r="J23" s="49" t="n">
        <x:v>17</x:v>
      </x:c>
      <x:c r="K23" s="49" t="str">
        <x:v>NO</x:v>
      </x:c>
      <x:c r="L23" s="49" t="str">
        <x:v>FakeMessageBus + MockThreatQuery + RiskResult/worker fixtures; no direct DB/core call from worker</x:v>
      </x:c>
    </x:row>
    <x:row r="24" ht="42" customHeight="1">
      <x:c r="A24" s="49" t="str">
        <x:v>K-WP06</x:v>
      </x:c>
      <x:c r="B24" s="49" t="str">
        <x:v>Khải</x:v>
      </x:c>
      <x:c r="C24" s="49" t="str">
        <x:v>M02</x:v>
      </x:c>
      <x:c r="D24" s="49" t="str">
        <x:v>Brand Impersonation &amp; Typosquatting Detection</x:v>
      </x:c>
      <x:c r="E24" s="49" t="str">
        <x:v>M02-F039, M02-F040, M02-F041, M02-F042, M02-F043, M02-F044, M02-F045</x:v>
      </x:c>
      <x:c r="F24" s="49" t="n">
        <x:v>7</x:v>
      </x:c>
      <x:c r="G24" s="49" t="n">
        <x:v>2</x:v>
      </x:c>
      <x:c r="H24" s="49" t="n">
        <x:v>3</x:v>
      </x:c>
      <x:c r="I24" s="49" t="n">
        <x:v>2</x:v>
      </x:c>
      <x:c r="J24" s="49" t="n">
        <x:v>14</x:v>
      </x:c>
      <x:c r="K24" s="49" t="str">
        <x:v>NO</x:v>
      </x:c>
      <x:c r="L24" s="49" t="str">
        <x:v>FakeMessageBus + MockThreatQuery + RiskResult/worker fixtures; no direct DB/core call from worker</x:v>
      </x:c>
    </x:row>
    <x:row r="25" ht="42" customHeight="1">
      <x:c r="A25" s="49" t="str">
        <x:v>K-WP07</x:v>
      </x:c>
      <x:c r="B25" s="49" t="str">
        <x:v>Khải</x:v>
      </x:c>
      <x:c r="C25" s="49" t="str">
        <x:v>M02</x:v>
      </x:c>
      <x:c r="D25" s="49" t="str">
        <x:v>Web Evidence Capture &amp; Retention</x:v>
      </x:c>
      <x:c r="E25" s="49" t="str">
        <x:v>M02-F046, M02-F047, M02-F048, M02-F049, M02-F050, M02-F051, M02-F052</x:v>
      </x:c>
      <x:c r="F25" s="49" t="n">
        <x:v>7</x:v>
      </x:c>
      <x:c r="G25" s="49" t="n">
        <x:v>0</x:v>
      </x:c>
      <x:c r="H25" s="49" t="n">
        <x:v>4</x:v>
      </x:c>
      <x:c r="I25" s="49" t="n">
        <x:v>3</x:v>
      </x:c>
      <x:c r="J25" s="49" t="n">
        <x:v>11</x:v>
      </x:c>
      <x:c r="K25" s="49" t="str">
        <x:v>NO</x:v>
      </x:c>
      <x:c r="L25" s="49" t="str">
        <x:v>FakeMessageBus + MockThreatQuery + RiskResult/worker fixtures; no direct DB/core call from worker</x:v>
      </x:c>
    </x:row>
    <x:row r="26" ht="42" customHeight="1">
      <x:c r="A26" s="49" t="str">
        <x:v>K-WP08</x:v>
      </x:c>
      <x:c r="B26" s="49" t="str">
        <x:v>Khải</x:v>
      </x:c>
      <x:c r="C26" s="49" t="str">
        <x:v>M02</x:v>
      </x:c>
      <x:c r="D26" s="49" t="str">
        <x:v>URL Worker Contract &amp; Reputation Enrichment Boundary</x:v>
      </x:c>
      <x:c r="E26" s="49" t="str">
        <x:v>M02-F053, M02-F054, M02-F055, M02-F056</x:v>
      </x:c>
      <x:c r="F26" s="49" t="n">
        <x:v>4</x:v>
      </x:c>
      <x:c r="G26" s="49" t="n">
        <x:v>4</x:v>
      </x:c>
      <x:c r="H26" s="49" t="n">
        <x:v>0</x:v>
      </x:c>
      <x:c r="I26" s="49" t="n">
        <x:v>0</x:v>
      </x:c>
      <x:c r="J26" s="49" t="n">
        <x:v>12</x:v>
      </x:c>
      <x:c r="K26" s="49" t="str">
        <x:v>NO</x:v>
      </x:c>
      <x:c r="L26" s="49" t="str">
        <x:v>FakeMessageBus + MockThreatQuery + RiskResult/worker fixtures; no direct DB/core call from worker</x:v>
      </x:c>
    </x:row>
    <x:row r="27" ht="42" customHeight="1">
      <x:c r="A27" s="49" t="str">
        <x:v>K-WP09</x:v>
      </x:c>
      <x:c r="B27" s="49" t="str">
        <x:v>Khải</x:v>
      </x:c>
      <x:c r="C27" s="49" t="str">
        <x:v>M04</x:v>
      </x:c>
      <x:c r="D27" s="49" t="str">
        <x:v>Phone Reputation Check</x:v>
      </x:c>
      <x:c r="E27" s="49" t="str">
        <x:v>M04-F001, M04-F002, M04-F003, M04-F004, M04-F005, M04-F006, M04-F007, M04-F008</x:v>
      </x:c>
      <x:c r="F27" s="49" t="n">
        <x:v>8</x:v>
      </x:c>
      <x:c r="G27" s="49" t="n">
        <x:v>3</x:v>
      </x:c>
      <x:c r="H27" s="49" t="n">
        <x:v>3</x:v>
      </x:c>
      <x:c r="I27" s="49" t="n">
        <x:v>2</x:v>
      </x:c>
      <x:c r="J27" s="49" t="n">
        <x:v>17</x:v>
      </x:c>
      <x:c r="K27" s="49" t="str">
        <x:v>NO</x:v>
      </x:c>
      <x:c r="L27" s="49" t="str">
        <x:v>MockThreatQuery + entity fixtures + fake scan-platform adapter</x:v>
      </x:c>
    </x:row>
    <x:row r="28" ht="42" customHeight="1">
      <x:c r="A28" s="49" t="str">
        <x:v>K-WP10</x:v>
      </x:c>
      <x:c r="B28" s="49" t="str">
        <x:v>Khải</x:v>
      </x:c>
      <x:c r="C28" s="49" t="str">
        <x:v>M04</x:v>
      </x:c>
      <x:c r="D28" s="49" t="str">
        <x:v>Bank Account Reputation Check</x:v>
      </x:c>
      <x:c r="E28" s="49" t="str">
        <x:v>M04-F009, M04-F010, M04-F011, M04-F012, M04-F013, M04-F014, M04-F015, M04-F016</x:v>
      </x:c>
      <x:c r="F28" s="49" t="n">
        <x:v>8</x:v>
      </x:c>
      <x:c r="G28" s="49" t="n">
        <x:v>3</x:v>
      </x:c>
      <x:c r="H28" s="49" t="n">
        <x:v>3</x:v>
      </x:c>
      <x:c r="I28" s="49" t="n">
        <x:v>2</x:v>
      </x:c>
      <x:c r="J28" s="49" t="n">
        <x:v>17</x:v>
      </x:c>
      <x:c r="K28" s="49" t="str">
        <x:v>NO</x:v>
      </x:c>
      <x:c r="L28" s="49" t="str">
        <x:v>MockThreatQuery + entity fixtures + fake scan-platform adapter</x:v>
      </x:c>
    </x:row>
    <x:row r="29" ht="42" customHeight="1">
      <x:c r="A29" s="49" t="str">
        <x:v>K-WP11</x:v>
      </x:c>
      <x:c r="B29" s="49" t="str">
        <x:v>Khải</x:v>
      </x:c>
      <x:c r="C29" s="49" t="str">
        <x:v>M04</x:v>
      </x:c>
      <x:c r="D29" s="49" t="str">
        <x:v>Unified Entity Scan Contract &amp; NO_DATA Semantics</x:v>
      </x:c>
      <x:c r="E29" s="49" t="str">
        <x:v>M04-F017, M04-F018</x:v>
      </x:c>
      <x:c r="F29" s="49" t="n">
        <x:v>2</x:v>
      </x:c>
      <x:c r="G29" s="49" t="n">
        <x:v>2</x:v>
      </x:c>
      <x:c r="H29" s="49" t="n">
        <x:v>0</x:v>
      </x:c>
      <x:c r="I29" s="49" t="n">
        <x:v>0</x:v>
      </x:c>
      <x:c r="J29" s="49" t="n">
        <x:v>6</x:v>
      </x:c>
      <x:c r="K29" s="49" t="str">
        <x:v>NO</x:v>
      </x:c>
      <x:c r="L29" s="49" t="str">
        <x:v>MockThreatQuery + entity fixtures + fake scan-platform adapter</x:v>
      </x:c>
    </x:row>
    <x:row r="30" ht="42" customHeight="1">
      <x:c r="A30" s="49" t="str">
        <x:v>K-WP12</x:v>
      </x:c>
      <x:c r="B30" s="49" t="str">
        <x:v>Khải</x:v>
      </x:c>
      <x:c r="C30" s="49" t="str">
        <x:v>M07</x:v>
      </x:c>
      <x:c r="D30" s="49" t="str">
        <x:v>Community Report Submission &amp; Evidence</x:v>
      </x:c>
      <x:c r="E30" s="49" t="str">
        <x:v>M07-F001, M07-F002, M07-F003, M07-F004, M07-F005, M07-F006, M07-F007, M07-F008</x:v>
      </x:c>
      <x:c r="F30" s="49" t="n">
        <x:v>8</x:v>
      </x:c>
      <x:c r="G30" s="49" t="n">
        <x:v>3</x:v>
      </x:c>
      <x:c r="H30" s="49" t="n">
        <x:v>3</x:v>
      </x:c>
      <x:c r="I30" s="49" t="n">
        <x:v>2</x:v>
      </x:c>
      <x:c r="J30" s="49" t="n">
        <x:v>17</x:v>
      </x:c>
      <x:c r="K30" s="49" t="str">
        <x:v>NO</x:v>
      </x:c>
      <x:c r="L30" s="49" t="str">
        <x:v>Seed report fixtures + MockThreatQuery + MockNotificationPort + InMemoryAuditPort</x:v>
      </x:c>
    </x:row>
    <x:row r="31" ht="42" customHeight="1">
      <x:c r="A31" s="49" t="str">
        <x:v>K-WP13</x:v>
      </x:c>
      <x:c r="B31" s="49" t="str">
        <x:v>Khải</x:v>
      </x:c>
      <x:c r="C31" s="49" t="str">
        <x:v>M07</x:v>
      </x:c>
      <x:c r="D31" s="49" t="str">
        <x:v>Moderation Queue &amp; Review Workflow</x:v>
      </x:c>
      <x:c r="E31" s="49" t="str">
        <x:v>M07-F009, M07-F010, M07-F011, M07-F012, M07-F013, M07-F014, M07-F015, M07-F016, M07-F017</x:v>
      </x:c>
      <x:c r="F31" s="49" t="n">
        <x:v>9</x:v>
      </x:c>
      <x:c r="G31" s="49" t="n">
        <x:v>4</x:v>
      </x:c>
      <x:c r="H31" s="49" t="n">
        <x:v>3</x:v>
      </x:c>
      <x:c r="I31" s="49" t="n">
        <x:v>2</x:v>
      </x:c>
      <x:c r="J31" s="49" t="n">
        <x:v>20</x:v>
      </x:c>
      <x:c r="K31" s="49" t="str">
        <x:v>NO</x:v>
      </x:c>
      <x:c r="L31" s="49" t="str">
        <x:v>Seed report fixtures + MockThreatQuery + MockNotificationPort + InMemoryAuditPort</x:v>
      </x:c>
    </x:row>
    <x:row r="32" ht="42" customHeight="1">
      <x:c r="A32" s="49" t="str">
        <x:v>K-WP14</x:v>
      </x:c>
      <x:c r="B32" s="49" t="str">
        <x:v>Khải</x:v>
      </x:c>
      <x:c r="C32" s="49" t="str">
        <x:v>M07</x:v>
      </x:c>
      <x:c r="D32" s="49" t="str">
        <x:v>Reporter Reputation &amp; Abuse Controls</x:v>
      </x:c>
      <x:c r="E32" s="49" t="str">
        <x:v>M07-F018, M07-F019, M07-F020, M07-F021, M07-F022, M07-F023, M07-F024</x:v>
      </x:c>
      <x:c r="F32" s="49" t="n">
        <x:v>7</x:v>
      </x:c>
      <x:c r="G32" s="49" t="n">
        <x:v>0</x:v>
      </x:c>
      <x:c r="H32" s="49" t="n">
        <x:v>3</x:v>
      </x:c>
      <x:c r="I32" s="49" t="n">
        <x:v>4</x:v>
      </x:c>
      <x:c r="J32" s="49" t="n">
        <x:v>10</x:v>
      </x:c>
      <x:c r="K32" s="49" t="str">
        <x:v>NO</x:v>
      </x:c>
      <x:c r="L32" s="49" t="str">
        <x:v>Seed report fixtures + MockThreatQuery + MockNotificationPort + InMemoryAuditPort</x:v>
      </x:c>
    </x:row>
    <x:row r="33" ht="42" customHeight="1">
      <x:c r="A33" s="49" t="str">
        <x:v>K-WP15</x:v>
      </x:c>
      <x:c r="B33" s="49" t="str">
        <x:v>Khải</x:v>
      </x:c>
      <x:c r="C33" s="49" t="str">
        <x:v>M07</x:v>
      </x:c>
      <x:c r="D33" s="49" t="str">
        <x:v>Verified Report → Threat/Reputation Signal Bridge</x:v>
      </x:c>
      <x:c r="E33" s="49" t="str">
        <x:v>M07-F025, M07-F026</x:v>
      </x:c>
      <x:c r="F33" s="49" t="n">
        <x:v>2</x:v>
      </x:c>
      <x:c r="G33" s="49" t="n">
        <x:v>2</x:v>
      </x:c>
      <x:c r="H33" s="49" t="n">
        <x:v>0</x:v>
      </x:c>
      <x:c r="I33" s="49" t="n">
        <x:v>0</x:v>
      </x:c>
      <x:c r="J33" s="49" t="n">
        <x:v>6</x:v>
      </x:c>
      <x:c r="K33" s="49" t="str">
        <x:v>NO</x:v>
      </x:c>
      <x:c r="L33" s="49" t="str">
        <x:v>Seed report fixtures + MockThreatQuery + MockNotificationPort + InMemoryAuditPort</x:v>
      </x:c>
    </x:row>
    <x:row r="34" ht="42" customHeight="1">
      <x:c r="A34" s="49" t="str">
        <x:v>I-WP01</x:v>
      </x:c>
      <x:c r="B34" s="49" t="str">
        <x:v>Kiên</x:v>
      </x:c>
      <x:c r="C34" s="49" t="str">
        <x:v>M08</x:v>
      </x:c>
      <x:c r="D34" s="49" t="str">
        <x:v>Threat Feed Ingestion &amp; Dataset Lifecycle</x:v>
      </x:c>
      <x:c r="E34" s="49" t="str">
        <x:v>M08-F001, M08-F002, M08-F003, M08-F004, M08-F005, M08-F006, M08-F007</x:v>
      </x:c>
      <x:c r="F34" s="49" t="n">
        <x:v>7</x:v>
      </x:c>
      <x:c r="G34" s="49" t="n">
        <x:v>0</x:v>
      </x:c>
      <x:c r="H34" s="49" t="n">
        <x:v>4</x:v>
      </x:c>
      <x:c r="I34" s="49" t="n">
        <x:v>3</x:v>
      </x:c>
      <x:c r="J34" s="49" t="n">
        <x:v>11</x:v>
      </x:c>
      <x:c r="K34" s="49" t="str">
        <x:v>NO</x:v>
      </x:c>
      <x:c r="L34" s="49" t="str">
        <x:v>sample threat feeds + in-memory repository/cache adapter; core-only ThreatQuery contract</x:v>
      </x:c>
    </x:row>
    <x:row r="35" ht="42" customHeight="1">
      <x:c r="A35" s="49" t="str">
        <x:v>I-WP02</x:v>
      </x:c>
      <x:c r="B35" s="49" t="str">
        <x:v>Kiên</x:v>
      </x:c>
      <x:c r="C35" s="49" t="str">
        <x:v>M08</x:v>
      </x:c>
      <x:c r="D35" s="49" t="str">
        <x:v>Whitelist / Blacklist Administration</x:v>
      </x:c>
      <x:c r="E35" s="49" t="str">
        <x:v>M08-F008, M08-F009, M08-F010, M08-F011, M08-F012, M08-F013, M08-F014, M08-F015</x:v>
      </x:c>
      <x:c r="F35" s="49" t="n">
        <x:v>8</x:v>
      </x:c>
      <x:c r="G35" s="49" t="n">
        <x:v>2</x:v>
      </x:c>
      <x:c r="H35" s="49" t="n">
        <x:v>4</x:v>
      </x:c>
      <x:c r="I35" s="49" t="n">
        <x:v>2</x:v>
      </x:c>
      <x:c r="J35" s="49" t="n">
        <x:v>16</x:v>
      </x:c>
      <x:c r="K35" s="49" t="str">
        <x:v>NO</x:v>
      </x:c>
      <x:c r="L35" s="49" t="str">
        <x:v>sample threat feeds + in-memory repository/cache adapter; core-only ThreatQuery contract</x:v>
      </x:c>
    </x:row>
    <x:row r="36" ht="42" customHeight="1">
      <x:c r="A36" s="49" t="str">
        <x:v>I-WP03</x:v>
      </x:c>
      <x:c r="B36" s="49" t="str">
        <x:v>Kiên</x:v>
      </x:c>
      <x:c r="C36" s="49" t="str">
        <x:v>M08</x:v>
      </x:c>
      <x:c r="D36" s="49" t="str">
        <x:v>Risk Entity Registry &amp; Evidence Consolidation</x:v>
      </x:c>
      <x:c r="E36" s="49" t="str">
        <x:v>M08-F016, M08-F017, M08-F018, M08-F019, M08-F020, M08-F021, M08-F022, M08-F023, M08-F024</x:v>
      </x:c>
      <x:c r="F36" s="49" t="n">
        <x:v>9</x:v>
      </x:c>
      <x:c r="G36" s="49" t="n">
        <x:v>3</x:v>
      </x:c>
      <x:c r="H36" s="49" t="n">
        <x:v>3</x:v>
      </x:c>
      <x:c r="I36" s="49" t="n">
        <x:v>3</x:v>
      </x:c>
      <x:c r="J36" s="49" t="n">
        <x:v>18</x:v>
      </x:c>
      <x:c r="K36" s="49" t="str">
        <x:v>NO</x:v>
      </x:c>
      <x:c r="L36" s="49" t="str">
        <x:v>sample threat feeds + in-memory repository/cache adapter; core-only ThreatQuery contract</x:v>
      </x:c>
    </x:row>
    <x:row r="37" ht="42" customHeight="1">
      <x:c r="A37" s="49" t="str">
        <x:v>I-WP04</x:v>
      </x:c>
      <x:c r="B37" s="49" t="str">
        <x:v>Kiên</x:v>
      </x:c>
      <x:c r="C37" s="49" t="str">
        <x:v>M08</x:v>
      </x:c>
      <x:c r="D37" s="49" t="str">
        <x:v>Core ThreatQuery &amp; Deferred Reputation Enrichment</x:v>
      </x:c>
      <x:c r="E37" s="49" t="str">
        <x:v>M08-F025, M08-F026, M08-F027</x:v>
      </x:c>
      <x:c r="F37" s="49" t="n">
        <x:v>3</x:v>
      </x:c>
      <x:c r="G37" s="49" t="n">
        <x:v>3</x:v>
      </x:c>
      <x:c r="H37" s="49" t="n">
        <x:v>0</x:v>
      </x:c>
      <x:c r="I37" s="49" t="n">
        <x:v>0</x:v>
      </x:c>
      <x:c r="J37" s="49" t="n">
        <x:v>9</x:v>
      </x:c>
      <x:c r="K37" s="49" t="str">
        <x:v>NO</x:v>
      </x:c>
      <x:c r="L37" s="49" t="str">
        <x:v>sample threat feeds + in-memory repository/cache adapter; core-only ThreatQuery contract</x:v>
      </x:c>
    </x:row>
    <x:row r="38" ht="42" customHeight="1">
      <x:c r="A38" s="49" t="str">
        <x:v>I-WP05</x:v>
      </x:c>
      <x:c r="B38" s="49" t="str">
        <x:v>Kiên</x:v>
      </x:c>
      <x:c r="C38" s="49" t="str">
        <x:v>M09</x:v>
      </x:c>
      <x:c r="D38" s="49" t="str">
        <x:v>Rule Evaluation Core &amp; Result Composition</x:v>
      </x:c>
      <x:c r="E38" s="49" t="str">
        <x:v>M09-F001, M09-F002, M09-F004, M09-F005, M09-F037</x:v>
      </x:c>
      <x:c r="F38" s="49" t="n">
        <x:v>5</x:v>
      </x:c>
      <x:c r="G38" s="49" t="n">
        <x:v>5</x:v>
      </x:c>
      <x:c r="H38" s="49" t="n">
        <x:v>0</x:v>
      </x:c>
      <x:c r="I38" s="49" t="n">
        <x:v>0</x:v>
      </x:c>
      <x:c r="J38" s="49" t="n">
        <x:v>15</x:v>
      </x:c>
      <x:c r="K38" s="49" t="str">
        <x:v>NO</x:v>
      </x:c>
      <x:c r="L38" s="49" t="str">
        <x:v>UnifiedSignalSet fixtures + deterministic policy fixtures; expose RiskEvaluationPort</x:v>
      </x:c>
    </x:row>
    <x:row r="39" ht="42" customHeight="1">
      <x:c r="A39" s="49" t="str">
        <x:v>I-WP06</x:v>
      </x:c>
      <x:c r="B39" s="49" t="str">
        <x:v>Kiên</x:v>
      </x:c>
      <x:c r="C39" s="49" t="str">
        <x:v>M09</x:v>
      </x:c>
      <x:c r="D39" s="49" t="str">
        <x:v>Risk Fusion Policy, Thresholds &amp; Missing-Signal Handling</x:v>
      </x:c>
      <x:c r="E39" s="49" t="str">
        <x:v>M09-F003, M09-F006, M09-F007, M09-F008, M09-F038, M09-F039</x:v>
      </x:c>
      <x:c r="F39" s="49" t="n">
        <x:v>6</x:v>
      </x:c>
      <x:c r="G39" s="49" t="n">
        <x:v>3</x:v>
      </x:c>
      <x:c r="H39" s="49" t="n">
        <x:v>2</x:v>
      </x:c>
      <x:c r="I39" s="49" t="n">
        <x:v>1</x:v>
      </x:c>
      <x:c r="J39" s="49" t="n">
        <x:v>14</x:v>
      </x:c>
      <x:c r="K39" s="49" t="str">
        <x:v>NO</x:v>
      </x:c>
      <x:c r="L39" s="49" t="str">
        <x:v>UnifiedSignalSet fixtures + deterministic policy fixtures; expose RiskEvaluationPort</x:v>
      </x:c>
    </x:row>
    <x:row r="40" ht="42" customHeight="1">
      <x:c r="A40" s="49" t="str">
        <x:v>I-WP07</x:v>
      </x:c>
      <x:c r="B40" s="49" t="str">
        <x:v>Kiên</x:v>
      </x:c>
      <x:c r="C40" s="49" t="str">
        <x:v>M09</x:v>
      </x:c>
      <x:c r="D40" s="49" t="str">
        <x:v>Rule Repository &amp; Admin Management</x:v>
      </x:c>
      <x:c r="E40" s="49" t="str">
        <x:v>M09-F009, M09-F010, M09-F011, M09-F012, M09-F013, M09-F014, M09-F015, M09-F016</x:v>
      </x:c>
      <x:c r="F40" s="49" t="n">
        <x:v>8</x:v>
      </x:c>
      <x:c r="G40" s="49" t="n">
        <x:v>2</x:v>
      </x:c>
      <x:c r="H40" s="49" t="n">
        <x:v>4</x:v>
      </x:c>
      <x:c r="I40" s="49" t="n">
        <x:v>2</x:v>
      </x:c>
      <x:c r="J40" s="49" t="n">
        <x:v>16</x:v>
      </x:c>
      <x:c r="K40" s="49" t="str">
        <x:v>NO</x:v>
      </x:c>
      <x:c r="L40" s="49" t="str">
        <x:v>UnifiedSignalSet fixtures + deterministic policy fixtures; expose RiskEvaluationPort</x:v>
      </x:c>
    </x:row>
    <x:row r="41" ht="42" customHeight="1">
      <x:c r="A41" s="49" t="str">
        <x:v>I-WP08</x:v>
      </x:c>
      <x:c r="B41" s="49" t="str">
        <x:v>Kiên</x:v>
      </x:c>
      <x:c r="C41" s="49" t="str">
        <x:v>M09</x:v>
      </x:c>
      <x:c r="D41" s="49" t="str">
        <x:v>Rule Preview, Simulation &amp; Shadow Evaluation</x:v>
      </x:c>
      <x:c r="E41" s="49" t="str">
        <x:v>M09-F017, M09-F018, M09-F019, M09-F020, M09-F021, M09-F022</x:v>
      </x:c>
      <x:c r="F41" s="49" t="n">
        <x:v>6</x:v>
      </x:c>
      <x:c r="G41" s="49" t="n">
        <x:v>0</x:v>
      </x:c>
      <x:c r="H41" s="49" t="n">
        <x:v>3</x:v>
      </x:c>
      <x:c r="I41" s="49" t="n">
        <x:v>3</x:v>
      </x:c>
      <x:c r="J41" s="49" t="n">
        <x:v>9</x:v>
      </x:c>
      <x:c r="K41" s="49" t="str">
        <x:v>NO</x:v>
      </x:c>
      <x:c r="L41" s="49" t="str">
        <x:v>UnifiedSignalSet fixtures + deterministic policy fixtures; expose RiskEvaluationPort</x:v>
      </x:c>
    </x:row>
    <x:row r="42" ht="42" customHeight="1">
      <x:c r="A42" s="49" t="str">
        <x:v>I-WP09</x:v>
      </x:c>
      <x:c r="B42" s="49" t="str">
        <x:v>Kiên</x:v>
      </x:c>
      <x:c r="C42" s="49" t="str">
        <x:v>M09</x:v>
      </x:c>
      <x:c r="D42" s="49" t="str">
        <x:v>Rule Versioning, History &amp; Rollback</x:v>
      </x:c>
      <x:c r="E42" s="49" t="str">
        <x:v>M09-F023, M09-F024, M09-F025, M09-F026, M09-F027, M09-F028</x:v>
      </x:c>
      <x:c r="F42" s="49" t="n">
        <x:v>6</x:v>
      </x:c>
      <x:c r="G42" s="49" t="n">
        <x:v>0</x:v>
      </x:c>
      <x:c r="H42" s="49" t="n">
        <x:v>3</x:v>
      </x:c>
      <x:c r="I42" s="49" t="n">
        <x:v>3</x:v>
      </x:c>
      <x:c r="J42" s="49" t="n">
        <x:v>9</x:v>
      </x:c>
      <x:c r="K42" s="49" t="str">
        <x:v>NO</x:v>
      </x:c>
      <x:c r="L42" s="49" t="str">
        <x:v>UnifiedSignalSet fixtures + deterministic policy fixtures; expose RiskEvaluationPort</x:v>
      </x:c>
    </x:row>
    <x:row r="43" ht="42" customHeight="1">
      <x:c r="A43" s="49" t="str">
        <x:v>I-WP10</x:v>
      </x:c>
      <x:c r="B43" s="49" t="str">
        <x:v>Kiên</x:v>
      </x:c>
      <x:c r="C43" s="49" t="str">
        <x:v>M09</x:v>
      </x:c>
      <x:c r="D43" s="49" t="str">
        <x:v>Risk &amp; Scam Operations Analytics</x:v>
      </x:c>
      <x:c r="E43" s="49" t="str">
        <x:v>M09-F029, M09-F030, M09-F031, M09-F032, M09-F033, M09-F034, M09-F035, M09-F036</x:v>
      </x:c>
      <x:c r="F43" s="49" t="n">
        <x:v>8</x:v>
      </x:c>
      <x:c r="G43" s="49" t="n">
        <x:v>0</x:v>
      </x:c>
      <x:c r="H43" s="49" t="n">
        <x:v>5</x:v>
      </x:c>
      <x:c r="I43" s="49" t="n">
        <x:v>3</x:v>
      </x:c>
      <x:c r="J43" s="49" t="n">
        <x:v>13</x:v>
      </x:c>
      <x:c r="K43" s="49" t="str">
        <x:v>NO</x:v>
      </x:c>
      <x:c r="L43" s="49" t="str">
        <x:v>UnifiedSignalSet fixtures + deterministic policy fixtures; expose RiskEvaluationPort</x:v>
      </x:c>
    </x:row>
    <x:row r="44" ht="42" customHeight="1">
      <x:c r="A44" s="49" t="str">
        <x:v>I-WP11</x:v>
      </x:c>
      <x:c r="B44" s="49" t="str">
        <x:v>Kiên</x:v>
      </x:c>
      <x:c r="C44" s="49" t="str">
        <x:v>M12</x:v>
      </x:c>
      <x:c r="D44" s="49" t="str">
        <x:v>Request Controls, Authorization &amp; Scan Dispatch</x:v>
      </x:c>
      <x:c r="E44" s="49" t="str">
        <x:v>M12-F001, M12-F002, M12-F003, M12-F004, M12-F018, M12-F019</x:v>
      </x:c>
      <x:c r="F44" s="49" t="n">
        <x:v>6</x:v>
      </x:c>
      <x:c r="G44" s="49" t="n">
        <x:v>5</x:v>
      </x:c>
      <x:c r="H44" s="49" t="n">
        <x:v>1</x:v>
      </x:c>
      <x:c r="I44" s="49" t="n">
        <x:v>0</x:v>
      </x:c>
      <x:c r="J44" s="49" t="n">
        <x:v>17</x:v>
      </x:c>
      <x:c r="K44" s="49" t="str">
        <x:v>NO</x:v>
      </x:c>
      <x:c r="L44" s="49" t="str">
        <x:v>FakeMessageBus + worker/AI/nested-scan/race fixtures + in-memory repositories</x:v>
      </x:c>
    </x:row>
    <x:row r="45" ht="42" customHeight="1">
      <x:c r="A45" s="49" t="str">
        <x:v>I-WP12</x:v>
      </x:c>
      <x:c r="B45" s="49" t="str">
        <x:v>Kiên</x:v>
      </x:c>
      <x:c r="C45" s="49" t="str">
        <x:v>M12</x:v>
      </x:c>
      <x:c r="D45" s="49" t="str">
        <x:v>Scan Lifecycle, Event Envelope, Retry &amp; Idempotency</x:v>
      </x:c>
      <x:c r="E45" s="49" t="str">
        <x:v>M12-F005, M12-F006, M12-F007, M12-F008, M12-F012</x:v>
      </x:c>
      <x:c r="F45" s="49" t="n">
        <x:v>5</x:v>
      </x:c>
      <x:c r="G45" s="49" t="n">
        <x:v>5</x:v>
      </x:c>
      <x:c r="H45" s="49" t="n">
        <x:v>0</x:v>
      </x:c>
      <x:c r="I45" s="49" t="n">
        <x:v>0</x:v>
      </x:c>
      <x:c r="J45" s="49" t="n">
        <x:v>15</x:v>
      </x:c>
      <x:c r="K45" s="49" t="str">
        <x:v>NO</x:v>
      </x:c>
      <x:c r="L45" s="49" t="str">
        <x:v>FakeMessageBus + worker/AI/nested-scan/race fixtures + in-memory repositories</x:v>
      </x:c>
    </x:row>
    <x:row r="46" ht="42" customHeight="1">
      <x:c r="A46" s="49" t="str">
        <x:v>I-WP13</x:v>
      </x:c>
      <x:c r="B46" s="49" t="str">
        <x:v>Kiên</x:v>
      </x:c>
      <x:c r="C46" s="49" t="str">
        <x:v>M12</x:v>
      </x:c>
      <x:c r="D46" s="49" t="str">
        <x:v>Nested Scan Orchestration &amp; Derived Indicators</x:v>
      </x:c>
      <x:c r="E46" s="49" t="str">
        <x:v>M12-F009, M12-F010, M12-F011, M12-F017</x:v>
      </x:c>
      <x:c r="F46" s="49" t="n">
        <x:v>4</x:v>
      </x:c>
      <x:c r="G46" s="49" t="n">
        <x:v>4</x:v>
      </x:c>
      <x:c r="H46" s="49" t="n">
        <x:v>0</x:v>
      </x:c>
      <x:c r="I46" s="49" t="n">
        <x:v>0</x:v>
      </x:c>
      <x:c r="J46" s="49" t="n">
        <x:v>12</x:v>
      </x:c>
      <x:c r="K46" s="49" t="str">
        <x:v>NO</x:v>
      </x:c>
      <x:c r="L46" s="49" t="str">
        <x:v>FakeMessageBus + worker/AI/nested-scan/race fixtures + in-memory repositories</x:v>
      </x:c>
    </x:row>
    <x:row r="47" ht="42" customHeight="1">
      <x:c r="A47" s="49" t="str">
        <x:v>I-WP14</x:v>
      </x:c>
      <x:c r="B47" s="49" t="str">
        <x:v>Kiên</x:v>
      </x:c>
      <x:c r="C47" s="49" t="str">
        <x:v>M12</x:v>
      </x:c>
      <x:c r="D47" s="49" t="str">
        <x:v>AI Task Barrier, Deadline &amp; Race Handling</x:v>
      </x:c>
      <x:c r="E47" s="49" t="str">
        <x:v>M12-F013, M12-F014, M12-F015, M12-F016</x:v>
      </x:c>
      <x:c r="F47" s="49" t="n">
        <x:v>4</x:v>
      </x:c>
      <x:c r="G47" s="49" t="n">
        <x:v>4</x:v>
      </x:c>
      <x:c r="H47" s="49" t="n">
        <x:v>0</x:v>
      </x:c>
      <x:c r="I47" s="49" t="n">
        <x:v>0</x:v>
      </x:c>
      <x:c r="J47" s="49" t="n">
        <x:v>12</x:v>
      </x:c>
      <x:c r="K47" s="49" t="str">
        <x:v>NO</x:v>
      </x:c>
      <x:c r="L47" s="49" t="str">
        <x:v>FakeMessageBus + worker/AI/nested-scan/race fixtures + in-memory repositories</x:v>
      </x:c>
    </x:row>
    <x:row r="48" ht="42" customHeight="1">
      <x:c r="A48" s="49" t="str">
        <x:v>I-WP15</x:v>
      </x:c>
      <x:c r="B48" s="49" t="str">
        <x:v>Kiên</x:v>
      </x:c>
      <x:c r="C48" s="49" t="str">
        <x:v>M14</x:v>
      </x:c>
      <x:c r="D48" s="49" t="str">
        <x:v>Security &amp; Business Audit Capture</x:v>
      </x:c>
      <x:c r="E48" s="49" t="str">
        <x:v>M14-F001, M14-F002, M14-F003, M14-F011</x:v>
      </x:c>
      <x:c r="F48" s="49" t="n">
        <x:v>4</x:v>
      </x:c>
      <x:c r="G48" s="49" t="n">
        <x:v>4</x:v>
      </x:c>
      <x:c r="H48" s="49" t="n">
        <x:v>0</x:v>
      </x:c>
      <x:c r="I48" s="49" t="n">
        <x:v>0</x:v>
      </x:c>
      <x:c r="J48" s="49" t="n">
        <x:v>12</x:v>
      </x:c>
      <x:c r="K48" s="49" t="str">
        <x:v>NO</x:v>
      </x:c>
      <x:c r="L48" s="49" t="str">
        <x:v>InMemoryAuditPort + mock admin/security events + correlation fixtures</x:v>
      </x:c>
    </x:row>
    <x:row r="49" ht="42" customHeight="1">
      <x:c r="A49" s="49" t="str">
        <x:v>I-WP16</x:v>
      </x:c>
      <x:c r="B49" s="49" t="str">
        <x:v>Kiên</x:v>
      </x:c>
      <x:c r="C49" s="49" t="str">
        <x:v>M14</x:v>
      </x:c>
      <x:c r="D49" s="49" t="str">
        <x:v>Cross-Pipeline Correlation &amp; Failure Trace</x:v>
      </x:c>
      <x:c r="E49" s="49" t="str">
        <x:v>M14-F008, M14-F009</x:v>
      </x:c>
      <x:c r="F49" s="49" t="n">
        <x:v>2</x:v>
      </x:c>
      <x:c r="G49" s="49" t="n">
        <x:v>1</x:v>
      </x:c>
      <x:c r="H49" s="49" t="n">
        <x:v>1</x:v>
      </x:c>
      <x:c r="I49" s="49" t="n">
        <x:v>0</x:v>
      </x:c>
      <x:c r="J49" s="49" t="n">
        <x:v>5</x:v>
      </x:c>
      <x:c r="K49" s="49" t="str">
        <x:v>NO</x:v>
      </x:c>
      <x:c r="L49" s="49" t="str">
        <x:v>InMemoryAuditPort + mock admin/security events + correlation fixtures</x:v>
      </x:c>
    </x:row>
    <x:row r="50" ht="42" customHeight="1">
      <x:c r="A50" s="49" t="str">
        <x:v>I-WP17</x:v>
      </x:c>
      <x:c r="B50" s="49" t="str">
        <x:v>Kiên</x:v>
      </x:c>
      <x:c r="C50" s="49" t="str">
        <x:v>M14</x:v>
      </x:c>
      <x:c r="D50" s="49" t="str">
        <x:v>Audit Query, Operations UI &amp; Investigation</x:v>
      </x:c>
      <x:c r="E50" s="49" t="str">
        <x:v>M14-F004, M14-F005, M14-F006, M14-F007, M14-F010</x:v>
      </x:c>
      <x:c r="F50" s="49" t="n">
        <x:v>5</x:v>
      </x:c>
      <x:c r="G50" s="49" t="n">
        <x:v>0</x:v>
      </x:c>
      <x:c r="H50" s="49" t="n">
        <x:v>3</x:v>
      </x:c>
      <x:c r="I50" s="49" t="n">
        <x:v>2</x:v>
      </x:c>
      <x:c r="J50" s="49" t="n">
        <x:v>8</x:v>
      </x:c>
      <x:c r="K50" s="49" t="str">
        <x:v>NO</x:v>
      </x:c>
      <x:c r="L50" s="49" t="str">
        <x:v>InMemoryAuditPort + mock admin/security events + correlation fixtures</x:v>
      </x:c>
    </x:row>
    <x:row r="51" ht="42" customHeight="1">
      <x:c r="A51" s="49" t="str">
        <x:v>T-WP01</x:v>
      </x:c>
      <x:c r="B51" s="49" t="str">
        <x:v>Thắng</x:v>
      </x:c>
      <x:c r="C51" s="49" t="str">
        <x:v>M03</x:v>
      </x:c>
      <x:c r="D51" s="49" t="str">
        <x:v>Vietnamese Text Normalization &amp; Evasion Handling</x:v>
      </x:c>
      <x:c r="E51" s="49" t="str">
        <x:v>M03-F001, M03-F002, M03-F003, M03-F004, M03-F005, M03-F006, M03-F007</x:v>
      </x:c>
      <x:c r="F51" s="49" t="n">
        <x:v>7</x:v>
      </x:c>
      <x:c r="G51" s="49" t="n">
        <x:v>3</x:v>
      </x:c>
      <x:c r="H51" s="49" t="n">
        <x:v>2</x:v>
      </x:c>
      <x:c r="I51" s="49" t="n">
        <x:v>2</x:v>
      </x:c>
      <x:c r="J51" s="49" t="n">
        <x:v>15</x:v>
      </x:c>
      <x:c r="K51" s="49" t="str">
        <x:v>NO</x:v>
      </x:c>
      <x:c r="L51" s="49" t="str">
        <x:v>FakeMessageBus + text/AI/derived-indicator fixtures + MockRiskEvaluationPort</x:v>
      </x:c>
    </x:row>
    <x:row r="52" ht="42" customHeight="1">
      <x:c r="A52" s="49" t="str">
        <x:v>T-WP02</x:v>
      </x:c>
      <x:c r="B52" s="49" t="str">
        <x:v>Thắng</x:v>
      </x:c>
      <x:c r="C52" s="49" t="str">
        <x:v>M03</x:v>
      </x:c>
      <x:c r="D52" s="49" t="str">
        <x:v>Async Text Scan, Scam Patterns &amp; User Result UX</x:v>
      </x:c>
      <x:c r="E52" s="49" t="str">
        <x:v>M03-F008, M03-F009, M03-F010, M03-F011, M03-F012, M03-F013, M03-F014, M03-F015</x:v>
      </x:c>
      <x:c r="F52" s="49" t="n">
        <x:v>8</x:v>
      </x:c>
      <x:c r="G52" s="49" t="n">
        <x:v>4</x:v>
      </x:c>
      <x:c r="H52" s="49" t="n">
        <x:v>2</x:v>
      </x:c>
      <x:c r="I52" s="49" t="n">
        <x:v>2</x:v>
      </x:c>
      <x:c r="J52" s="49" t="n">
        <x:v>18</x:v>
      </x:c>
      <x:c r="K52" s="49" t="str">
        <x:v>NO</x:v>
      </x:c>
      <x:c r="L52" s="49" t="str">
        <x:v>FakeMessageBus + text/AI/derived-indicator fixtures + MockRiskEvaluationPort</x:v>
      </x:c>
    </x:row>
    <x:row r="53" ht="42" customHeight="1">
      <x:c r="A53" s="49" t="str">
        <x:v>T-WP03</x:v>
      </x:c>
      <x:c r="B53" s="49" t="str">
        <x:v>Thắng</x:v>
      </x:c>
      <x:c r="C53" s="49" t="str">
        <x:v>M03</x:v>
      </x:c>
      <x:c r="D53" s="49" t="str">
        <x:v>Entity Extraction from Text</x:v>
      </x:c>
      <x:c r="E53" s="49" t="str">
        <x:v>M03-F016, M03-F017, M03-F018, M03-F019, M03-F020, M03-F021, M03-F022, M03-F023</x:v>
      </x:c>
      <x:c r="F53" s="49" t="n">
        <x:v>8</x:v>
      </x:c>
      <x:c r="G53" s="49" t="n">
        <x:v>5</x:v>
      </x:c>
      <x:c r="H53" s="49" t="n">
        <x:v>2</x:v>
      </x:c>
      <x:c r="I53" s="49" t="n">
        <x:v>1</x:v>
      </x:c>
      <x:c r="J53" s="49" t="n">
        <x:v>20</x:v>
      </x:c>
      <x:c r="K53" s="49" t="str">
        <x:v>NO</x:v>
      </x:c>
      <x:c r="L53" s="49" t="str">
        <x:v>FakeMessageBus + text/AI/derived-indicator fixtures + MockRiskEvaluationPort</x:v>
      </x:c>
    </x:row>
    <x:row r="54" ht="42" customHeight="1">
      <x:c r="A54" s="49" t="str">
        <x:v>T-WP04</x:v>
      </x:c>
      <x:c r="B54" s="49" t="str">
        <x:v>Thắng</x:v>
      </x:c>
      <x:c r="C54" s="49" t="str">
        <x:v>M03</x:v>
      </x:c>
      <x:c r="D54" s="49" t="str">
        <x:v>Scam Taxonomy &amp; User-facing Classification</x:v>
      </x:c>
      <x:c r="E54" s="49" t="str">
        <x:v>M03-F024, M03-F025, M03-F026, M03-F027, M03-F028, M03-F029, M03-F030</x:v>
      </x:c>
      <x:c r="F54" s="49" t="n">
        <x:v>7</x:v>
      </x:c>
      <x:c r="G54" s="49" t="n">
        <x:v>1</x:v>
      </x:c>
      <x:c r="H54" s="49" t="n">
        <x:v>3</x:v>
      </x:c>
      <x:c r="I54" s="49" t="n">
        <x:v>3</x:v>
      </x:c>
      <x:c r="J54" s="49" t="n">
        <x:v>12</x:v>
      </x:c>
      <x:c r="K54" s="49" t="str">
        <x:v>NO</x:v>
      </x:c>
      <x:c r="L54" s="49" t="str">
        <x:v>FakeMessageBus + text/AI/derived-indicator fixtures + MockRiskEvaluationPort</x:v>
      </x:c>
    </x:row>
    <x:row r="55" ht="42" customHeight="1">
      <x:c r="A55" s="49" t="str">
        <x:v>T-WP05</x:v>
      </x:c>
      <x:c r="B55" s="49" t="str">
        <x:v>Thắng</x:v>
      </x:c>
      <x:c r="C55" s="49" t="str">
        <x:v>M03</x:v>
      </x:c>
      <x:c r="D55" s="49" t="str">
        <x:v>Keyword Dictionary Administration</x:v>
      </x:c>
      <x:c r="E55" s="49" t="str">
        <x:v>M03-F031, M03-F032, M03-F033, M03-F034, M03-F035, M03-F036, M03-F037</x:v>
      </x:c>
      <x:c r="F55" s="49" t="n">
        <x:v>7</x:v>
      </x:c>
      <x:c r="G55" s="49" t="n">
        <x:v>1</x:v>
      </x:c>
      <x:c r="H55" s="49" t="n">
        <x:v>3</x:v>
      </x:c>
      <x:c r="I55" s="49" t="n">
        <x:v>3</x:v>
      </x:c>
      <x:c r="J55" s="49" t="n">
        <x:v>12</x:v>
      </x:c>
      <x:c r="K55" s="49" t="str">
        <x:v>NO</x:v>
      </x:c>
      <x:c r="L55" s="49" t="str">
        <x:v>FakeMessageBus + text/AI/derived-indicator fixtures + MockRiskEvaluationPort</x:v>
      </x:c>
    </x:row>
    <x:row r="56" ht="42" customHeight="1">
      <x:c r="A56" s="49" t="str">
        <x:v>T-WP06</x:v>
      </x:c>
      <x:c r="B56" s="49" t="str">
        <x:v>Thắng</x:v>
      </x:c>
      <x:c r="C56" s="49" t="str">
        <x:v>M03</x:v>
      </x:c>
      <x:c r="D56" s="49" t="str">
        <x:v>Multi-turn Conversation Analysis</x:v>
      </x:c>
      <x:c r="E56" s="49" t="str">
        <x:v>M03-F038, M03-F039, M03-F040, M03-F041, M03-F042, M03-F043</x:v>
      </x:c>
      <x:c r="F56" s="49" t="n">
        <x:v>6</x:v>
      </x:c>
      <x:c r="G56" s="49" t="n">
        <x:v>0</x:v>
      </x:c>
      <x:c r="H56" s="49" t="n">
        <x:v>3</x:v>
      </x:c>
      <x:c r="I56" s="49" t="n">
        <x:v>3</x:v>
      </x:c>
      <x:c r="J56" s="49" t="n">
        <x:v>9</x:v>
      </x:c>
      <x:c r="K56" s="49" t="str">
        <x:v>NO</x:v>
      </x:c>
      <x:c r="L56" s="49" t="str">
        <x:v>FakeMessageBus + text/AI/derived-indicator fixtures + MockRiskEvaluationPort</x:v>
      </x:c>
    </x:row>
    <x:row r="57" ht="42" customHeight="1">
      <x:c r="A57" s="49" t="str">
        <x:v>T-WP07</x:v>
      </x:c>
      <x:c r="B57" s="49" t="str">
        <x:v>Thắng</x:v>
      </x:c>
      <x:c r="C57" s="49" t="str">
        <x:v>M03</x:v>
      </x:c>
      <x:c r="D57" s="49" t="str">
        <x:v>Text Input Privacy &amp; Worker Contract</x:v>
      </x:c>
      <x:c r="E57" s="49" t="str">
        <x:v>M03-F044, M03-F045, M03-F046, M03-F047, M03-F048</x:v>
      </x:c>
      <x:c r="F57" s="49" t="n">
        <x:v>5</x:v>
      </x:c>
      <x:c r="G57" s="49" t="n">
        <x:v>4</x:v>
      </x:c>
      <x:c r="H57" s="49" t="n">
        <x:v>1</x:v>
      </x:c>
      <x:c r="I57" s="49" t="n">
        <x:v>0</x:v>
      </x:c>
      <x:c r="J57" s="49" t="n">
        <x:v>14</x:v>
      </x:c>
      <x:c r="K57" s="49" t="str">
        <x:v>NO</x:v>
      </x:c>
      <x:c r="L57" s="49" t="str">
        <x:v>FakeMessageBus + text/AI/derived-indicator fixtures + MockRiskEvaluationPort</x:v>
      </x:c>
    </x:row>
    <x:row r="58" ht="42" customHeight="1">
      <x:c r="A58" s="49" t="str">
        <x:v>T-WP08</x:v>
      </x:c>
      <x:c r="B58" s="49" t="str">
        <x:v>Thắng</x:v>
      </x:c>
      <x:c r="C58" s="49" t="str">
        <x:v>M05</x:v>
      </x:c>
      <x:c r="D58" s="49" t="str">
        <x:v>QR/VietQR Decode, Classification &amp; Nested Routing</x:v>
      </x:c>
      <x:c r="E58" s="49" t="str">
        <x:v>M05-F001, M05-F002, M05-F003, M05-F004, M05-F005, M05-F006, M05-F009, M05-F010</x:v>
      </x:c>
      <x:c r="F58" s="49" t="n">
        <x:v>8</x:v>
      </x:c>
      <x:c r="G58" s="49" t="n">
        <x:v>7</x:v>
      </x:c>
      <x:c r="H58" s="49" t="n">
        <x:v>1</x:v>
      </x:c>
      <x:c r="I58" s="49" t="n">
        <x:v>0</x:v>
      </x:c>
      <x:c r="J58" s="49" t="n">
        <x:v>23</x:v>
      </x:c>
      <x:c r="K58" s="49" t="str">
        <x:v>NO</x:v>
      </x:c>
      <x:c r="L58" s="49" t="str">
        <x:v>QR fixtures + fake scan-platform/child-scan adapter; SSRF handled by M02 contract</x:v>
      </x:c>
    </x:row>
    <x:row r="59" ht="42" customHeight="1">
      <x:c r="A59" s="49" t="str">
        <x:v>T-WP09</x:v>
      </x:c>
      <x:c r="B59" s="49" t="str">
        <x:v>Thắng</x:v>
      </x:c>
      <x:c r="C59" s="49" t="str">
        <x:v>M05</x:v>
      </x:c>
      <x:c r="D59" s="49" t="str">
        <x:v>Advanced QR Safety Checks</x:v>
      </x:c>
      <x:c r="E59" s="49" t="str">
        <x:v>M05-F007, M05-F008</x:v>
      </x:c>
      <x:c r="F59" s="49" t="n">
        <x:v>2</x:v>
      </x:c>
      <x:c r="G59" s="49" t="n">
        <x:v>0</x:v>
      </x:c>
      <x:c r="H59" s="49" t="n">
        <x:v>0</x:v>
      </x:c>
      <x:c r="I59" s="49" t="n">
        <x:v>2</x:v>
      </x:c>
      <x:c r="J59" s="49" t="n">
        <x:v>2</x:v>
      </x:c>
      <x:c r="K59" s="49" t="str">
        <x:v>NO</x:v>
      </x:c>
      <x:c r="L59" s="49" t="str">
        <x:v>QR fixtures + fake scan-platform/child-scan adapter; SSRF handled by M02 contract</x:v>
      </x:c>
    </x:row>
    <x:row r="60" ht="42" customHeight="1">
      <x:c r="A60" s="49" t="str">
        <x:v>T-WP10</x:v>
      </x:c>
      <x:c r="B60" s="49" t="str">
        <x:v>Thắng</x:v>
      </x:c>
      <x:c r="C60" s="49" t="str">
        <x:v>M06</x:v>
      </x:c>
      <x:c r="D60" s="49" t="str">
        <x:v>History Query, Access Control &amp; Pagination</x:v>
      </x:c>
      <x:c r="E60" s="49" t="str">
        <x:v>M06-F003, M06-F004, M06-F005, M06-F006</x:v>
      </x:c>
      <x:c r="F60" s="49" t="n">
        <x:v>4</x:v>
      </x:c>
      <x:c r="G60" s="49" t="n">
        <x:v>3</x:v>
      </x:c>
      <x:c r="H60" s="49" t="n">
        <x:v>1</x:v>
      </x:c>
      <x:c r="I60" s="49" t="n">
        <x:v>0</x:v>
      </x:c>
      <x:c r="J60" s="49" t="n">
        <x:v>11</x:v>
      </x:c>
      <x:c r="K60" s="49" t="str">
        <x:v>NO</x:v>
      </x:c>
      <x:c r="L60" s="49" t="str">
        <x:v>RiskResult/history fixtures + mock object storage/export event + MockNotificationPort</x:v>
      </x:c>
    </x:row>
    <x:row r="61" ht="42" customHeight="1">
      <x:c r="A61" s="49" t="str">
        <x:v>T-WP11</x:v>
      </x:c>
      <x:c r="B61" s="49" t="str">
        <x:v>Thắng</x:v>
      </x:c>
      <x:c r="C61" s="49" t="str">
        <x:v>M06</x:v>
      </x:c>
      <x:c r="D61" s="49" t="str">
        <x:v>History Retention &amp; User Management</x:v>
      </x:c>
      <x:c r="E61" s="49" t="str">
        <x:v>M06-F001, M06-F002, M06-F007, M06-F008, M06-F009, M06-F010</x:v>
      </x:c>
      <x:c r="F61" s="49" t="n">
        <x:v>6</x:v>
      </x:c>
      <x:c r="G61" s="49" t="n">
        <x:v>1</x:v>
      </x:c>
      <x:c r="H61" s="49" t="n">
        <x:v>3</x:v>
      </x:c>
      <x:c r="I61" s="49" t="n">
        <x:v>2</x:v>
      </x:c>
      <x:c r="J61" s="49" t="n">
        <x:v>11</x:v>
      </x:c>
      <x:c r="K61" s="49" t="str">
        <x:v>NO</x:v>
      </x:c>
      <x:c r="L61" s="49" t="str">
        <x:v>RiskResult/history fixtures + mock object storage/export event + MockNotificationPort</x:v>
      </x:c>
    </x:row>
    <x:row r="62" ht="42" customHeight="1">
      <x:c r="A62" s="49" t="str">
        <x:v>T-WP12</x:v>
      </x:c>
      <x:c r="B62" s="49" t="str">
        <x:v>Thắng</x:v>
      </x:c>
      <x:c r="C62" s="49" t="str">
        <x:v>M06</x:v>
      </x:c>
      <x:c r="D62" s="49" t="str">
        <x:v>RiskResult Contract &amp; Presentation Components</x:v>
      </x:c>
      <x:c r="E62" s="49" t="str">
        <x:v>M06-F011, M06-F012, M06-F013, M06-F014, M06-F020</x:v>
      </x:c>
      <x:c r="F62" s="49" t="n">
        <x:v>5</x:v>
      </x:c>
      <x:c r="G62" s="49" t="n">
        <x:v>3</x:v>
      </x:c>
      <x:c r="H62" s="49" t="n">
        <x:v>2</x:v>
      </x:c>
      <x:c r="I62" s="49" t="n">
        <x:v>0</x:v>
      </x:c>
      <x:c r="J62" s="49" t="n">
        <x:v>13</x:v>
      </x:c>
      <x:c r="K62" s="49" t="str">
        <x:v>NO</x:v>
      </x:c>
      <x:c r="L62" s="49" t="str">
        <x:v>RiskResult/history fixtures + mock object storage/export event + MockNotificationPort</x:v>
      </x:c>
    </x:row>
    <x:row r="63" ht="42" customHeight="1">
      <x:c r="A63" s="49" t="str">
        <x:v>T-WP13</x:v>
      </x:c>
      <x:c r="B63" s="49" t="str">
        <x:v>Thắng</x:v>
      </x:c>
      <x:c r="C63" s="49" t="str">
        <x:v>M06</x:v>
      </x:c>
      <x:c r="D63" s="49" t="str">
        <x:v>Result Sharing &amp; External Consumption</x:v>
      </x:c>
      <x:c r="E63" s="49" t="str">
        <x:v>M06-F015, M06-F017, M06-F018</x:v>
      </x:c>
      <x:c r="F63" s="49" t="n">
        <x:v>3</x:v>
      </x:c>
      <x:c r="G63" s="49" t="n">
        <x:v>0</x:v>
      </x:c>
      <x:c r="H63" s="49" t="n">
        <x:v>1</x:v>
      </x:c>
      <x:c r="I63" s="49" t="n">
        <x:v>2</x:v>
      </x:c>
      <x:c r="J63" s="49" t="n">
        <x:v>4</x:v>
      </x:c>
      <x:c r="K63" s="49" t="str">
        <x:v>NO</x:v>
      </x:c>
      <x:c r="L63" s="49" t="str">
        <x:v>RiskResult/history fixtures + mock object storage/export event + MockNotificationPort</x:v>
      </x:c>
    </x:row>
    <x:row r="64" ht="42" customHeight="1">
      <x:c r="A64" s="49" t="str">
        <x:v>T-WP14</x:v>
      </x:c>
      <x:c r="B64" s="49" t="str">
        <x:v>Thắng</x:v>
      </x:c>
      <x:c r="C64" s="49" t="str">
        <x:v>M06</x:v>
      </x:c>
      <x:c r="D64" s="49" t="str">
        <x:v>Async Export &amp; Admin Reporting</x:v>
      </x:c>
      <x:c r="E64" s="49" t="str">
        <x:v>M06-F016, M06-F019, M06-F021</x:v>
      </x:c>
      <x:c r="F64" s="49" t="n">
        <x:v>3</x:v>
      </x:c>
      <x:c r="G64" s="49" t="n">
        <x:v>0</x:v>
      </x:c>
      <x:c r="H64" s="49" t="n">
        <x:v>2</x:v>
      </x:c>
      <x:c r="I64" s="49" t="n">
        <x:v>1</x:v>
      </x:c>
      <x:c r="J64" s="49" t="n">
        <x:v>5</x:v>
      </x:c>
      <x:c r="K64" s="49" t="str">
        <x:v>NO</x:v>
      </x:c>
      <x:c r="L64" s="49" t="str">
        <x:v>RiskResult/history fixtures + mock object storage/export event + MockNotificationPort</x:v>
      </x:c>
    </x:row>
    <x:row r="65" ht="42" customHeight="1">
      <x:c r="A65" s="49" t="str">
        <x:v>T-WP15</x:v>
      </x:c>
      <x:c r="B65" s="49" t="str">
        <x:v>Thắng</x:v>
      </x:c>
      <x:c r="C65" s="49" t="str">
        <x:v>M11</x:v>
      </x:c>
      <x:c r="D65" s="49" t="str">
        <x:v>AI Task/Result Contract &amp; Worker Core</x:v>
      </x:c>
      <x:c r="E65" s="49" t="str">
        <x:v>M11-F001, M11-F002, M11-F003, M11-F004, M11-F005, M11-F006, M11-F017, M11-F018</x:v>
      </x:c>
      <x:c r="F65" s="49" t="n">
        <x:v>8</x:v>
      </x:c>
      <x:c r="G65" s="49" t="n">
        <x:v>5</x:v>
      </x:c>
      <x:c r="H65" s="49" t="n">
        <x:v>3</x:v>
      </x:c>
      <x:c r="I65" s="49" t="n">
        <x:v>0</x:v>
      </x:c>
      <x:c r="J65" s="49" t="n">
        <x:v>21</x:v>
      </x:c>
      <x:c r="K65" s="49" t="str">
        <x:v>NO</x:v>
      </x:c>
      <x:c r="L65" s="49" t="str">
        <x:v>FakeMessageBus + ai request/result fixtures + mock provider adapters</x:v>
      </x:c>
    </x:row>
    <x:row r="66" ht="42" customHeight="1">
      <x:c r="A66" s="49" t="str">
        <x:v>T-WP16</x:v>
      </x:c>
      <x:c r="B66" s="49" t="str">
        <x:v>Thắng</x:v>
      </x:c>
      <x:c r="C66" s="49" t="str">
        <x:v>M11</x:v>
      </x:c>
      <x:c r="D66" s="49" t="str">
        <x:v>AI Provider Resolver &amp; Adapter Registry</x:v>
      </x:c>
      <x:c r="E66" s="49" t="str">
        <x:v>M11-F009, M11-F019, M11-F020</x:v>
      </x:c>
      <x:c r="F66" s="49" t="n">
        <x:v>3</x:v>
      </x:c>
      <x:c r="G66" s="49" t="n">
        <x:v>1</x:v>
      </x:c>
      <x:c r="H66" s="49" t="n">
        <x:v>1</x:v>
      </x:c>
      <x:c r="I66" s="49" t="n">
        <x:v>1</x:v>
      </x:c>
      <x:c r="J66" s="49" t="n">
        <x:v>6</x:v>
      </x:c>
      <x:c r="K66" s="49" t="str">
        <x:v>NO</x:v>
      </x:c>
      <x:c r="L66" s="49" t="str">
        <x:v>FakeMessageBus + ai request/result fixtures + mock provider adapters</x:v>
      </x:c>
    </x:row>
    <x:row r="67" ht="42" customHeight="1">
      <x:c r="A67" s="49" t="str">
        <x:v>T-WP17</x:v>
      </x:c>
      <x:c r="B67" s="49" t="str">
        <x:v>Thắng</x:v>
      </x:c>
      <x:c r="C67" s="49" t="str">
        <x:v>M11</x:v>
      </x:c>
      <x:c r="D67" s="49" t="str">
        <x:v>AI Safety, Prompt/Output Guardrails &amp; Cache Options</x:v>
      </x:c>
      <x:c r="E67" s="49" t="str">
        <x:v>M11-F007, M11-F008</x:v>
      </x:c>
      <x:c r="F67" s="49" t="n">
        <x:v>2</x:v>
      </x:c>
      <x:c r="G67" s="49" t="n">
        <x:v>0</x:v>
      </x:c>
      <x:c r="H67" s="49" t="n">
        <x:v>0</x:v>
      </x:c>
      <x:c r="I67" s="49" t="n">
        <x:v>2</x:v>
      </x:c>
      <x:c r="J67" s="49" t="n">
        <x:v>2</x:v>
      </x:c>
      <x:c r="K67" s="49" t="str">
        <x:v>NO</x:v>
      </x:c>
      <x:c r="L67" s="49" t="str">
        <x:v>FakeMessageBus + ai request/result fixtures + mock provider adapters</x:v>
      </x:c>
    </x:row>
    <x:row r="68" ht="42" customHeight="1">
      <x:c r="A68" s="49" t="str">
        <x:v>T-WP18</x:v>
      </x:c>
      <x:c r="B68" s="49" t="str">
        <x:v>Thắng</x:v>
      </x:c>
      <x:c r="C68" s="49" t="str">
        <x:v>M11</x:v>
      </x:c>
      <x:c r="D68" s="49" t="str">
        <x:v>AI Evaluation Dataset, Metrics &amp; Calibration</x:v>
      </x:c>
      <x:c r="E68" s="49" t="str">
        <x:v>M11-F010, M11-F011, M11-F012, M11-F013, M11-F014, M11-F015, M11-F016</x:v>
      </x:c>
      <x:c r="F68" s="49" t="n">
        <x:v>7</x:v>
      </x:c>
      <x:c r="G68" s="49" t="n">
        <x:v>1</x:v>
      </x:c>
      <x:c r="H68" s="49" t="n">
        <x:v>3</x:v>
      </x:c>
      <x:c r="I68" s="49" t="n">
        <x:v>3</x:v>
      </x:c>
      <x:c r="J68" s="49" t="n">
        <x:v>12</x:v>
      </x:c>
      <x:c r="K68" s="49" t="str">
        <x:v>NO</x:v>
      </x:c>
      <x:c r="L68" s="49" t="str">
        <x:v>FakeMessageBus + ai request/result fixtures + mock provider adapters</x:v>
      </x:c>
    </x:row>
    <x:row r="69" ht="42" customHeight="1">
      <x:c r="A69" s="49" t="str">
        <x:v>H-FWP01</x:v>
      </x:c>
      <x:c r="B69" s="49" t="str">
        <x:v>Hùng</x:v>
      </x:c>
      <x:c r="C69" s="49" t="str">
        <x:v>FUTURE</x:v>
      </x:c>
      <x:c r="D69" s="49" t="str">
        <x:v>Future Entitlements, Plans &amp; Subscription Boundary</x:v>
      </x:c>
      <x:c r="E69" s="49" t="str">
        <x:v>FUTURE-F025, FUTURE-F026, FUTURE-F027, FUTURE-F028</x:v>
      </x:c>
      <x:c r="F69" s="49" t="n">
        <x:v>4</x:v>
      </x:c>
      <x:c r="G69" s="49" t="n">
        <x:v>0</x:v>
      </x:c>
      <x:c r="H69" s="49" t="n">
        <x:v>0</x:v>
      </x:c>
      <x:c r="I69" s="49" t="n">
        <x:v>4</x:v>
      </x:c>
      <x:c r="J69" s="49" t="n">
        <x:v>4</x:v>
      </x:c>
      <x:c r="K69" s="49" t="str">
        <x:v>YES</x:v>
      </x:c>
      <x:c r="L69" s="49" t="str">
        <x:v>Build against current public ports/fixtures; must not change MVP contracts until promoted</x:v>
      </x:c>
    </x:row>
    <x:row r="70" ht="42" customHeight="1">
      <x:c r="A70" s="49" t="str">
        <x:v>H-FWP02</x:v>
      </x:c>
      <x:c r="B70" s="49" t="str">
        <x:v>Hùng</x:v>
      </x:c>
      <x:c r="C70" s="49" t="str">
        <x:v>FUTURE</x:v>
      </x:c>
      <x:c r="D70" s="49" t="str">
        <x:v>Future Usage, Credit Ledger &amp; API Credentials</x:v>
      </x:c>
      <x:c r="E70" s="49" t="str">
        <x:v>FUTURE-F029, FUTURE-F030, FUTURE-F031, FUTURE-F032, FUTURE-F033</x:v>
      </x:c>
      <x:c r="F70" s="49" t="n">
        <x:v>5</x:v>
      </x:c>
      <x:c r="G70" s="49" t="n">
        <x:v>0</x:v>
      </x:c>
      <x:c r="H70" s="49" t="n">
        <x:v>0</x:v>
      </x:c>
      <x:c r="I70" s="49" t="n">
        <x:v>5</x:v>
      </x:c>
      <x:c r="J70" s="49" t="n">
        <x:v>5</x:v>
      </x:c>
      <x:c r="K70" s="49" t="str">
        <x:v>YES</x:v>
      </x:c>
      <x:c r="L70" s="49" t="str">
        <x:v>Build against current public ports/fixtures; must not change MVP contracts until promoted</x:v>
      </x:c>
    </x:row>
    <x:row r="71" ht="42" customHeight="1">
      <x:c r="A71" s="49" t="str">
        <x:v>K-FWP01</x:v>
      </x:c>
      <x:c r="B71" s="49" t="str">
        <x:v>Khải</x:v>
      </x:c>
      <x:c r="C71" s="49" t="str">
        <x:v>FUTURE</x:v>
      </x:c>
      <x:c r="D71" s="49" t="str">
        <x:v>Browser Extension Protection Surface</x:v>
      </x:c>
      <x:c r="E71" s="49" t="str">
        <x:v>FUTURE-F001, FUTURE-F002, FUTURE-F003, FUTURE-F004, FUTURE-F005, FUTURE-F006</x:v>
      </x:c>
      <x:c r="F71" s="49" t="n">
        <x:v>6</x:v>
      </x:c>
      <x:c r="G71" s="49" t="n">
        <x:v>0</x:v>
      </x:c>
      <x:c r="H71" s="49" t="n">
        <x:v>0</x:v>
      </x:c>
      <x:c r="I71" s="49" t="n">
        <x:v>6</x:v>
      </x:c>
      <x:c r="J71" s="49" t="n">
        <x:v>6</x:v>
      </x:c>
      <x:c r="K71" s="49" t="str">
        <x:v>YES</x:v>
      </x:c>
      <x:c r="L71" s="49" t="str">
        <x:v>Build against current public ports/fixtures; must not change MVP contracts until promoted</x:v>
      </x:c>
    </x:row>
    <x:row r="72" ht="42" customHeight="1">
      <x:c r="A72" s="49" t="str">
        <x:v>K-FWP02</x:v>
      </x:c>
      <x:c r="B72" s="49" t="str">
        <x:v>Khải</x:v>
      </x:c>
      <x:c r="C72" s="49" t="str">
        <x:v>FUTURE</x:v>
      </x:c>
      <x:c r="D72" s="49" t="str">
        <x:v>Community Contribution Gamification</x:v>
      </x:c>
      <x:c r="E72" s="49" t="str">
        <x:v>FUTURE-F021, FUTURE-F022, FUTURE-F023</x:v>
      </x:c>
      <x:c r="F72" s="49" t="n">
        <x:v>3</x:v>
      </x:c>
      <x:c r="G72" s="49" t="n">
        <x:v>0</x:v>
      </x:c>
      <x:c r="H72" s="49" t="n">
        <x:v>0</x:v>
      </x:c>
      <x:c r="I72" s="49" t="n">
        <x:v>3</x:v>
      </x:c>
      <x:c r="J72" s="49" t="n">
        <x:v>3</x:v>
      </x:c>
      <x:c r="K72" s="49" t="str">
        <x:v>YES</x:v>
      </x:c>
      <x:c r="L72" s="49" t="str">
        <x:v>Build against current public ports/fixtures; must not change MVP contracts until promoted</x:v>
      </x:c>
    </x:row>
    <x:row r="73" ht="42" customHeight="1">
      <x:c r="A73" s="49" t="str">
        <x:v>I-FWP01</x:v>
      </x:c>
      <x:c r="B73" s="49" t="str">
        <x:v>Kiên</x:v>
      </x:c>
      <x:c r="C73" s="49" t="str">
        <x:v>FUTURE</x:v>
      </x:c>
      <x:c r="D73" s="49" t="str">
        <x:v>Knowledge Library &amp; Editorial Workflow</x:v>
      </x:c>
      <x:c r="E73" s="49" t="str">
        <x:v>FUTURE-F007, FUTURE-F008, FUTURE-F009, FUTURE-F010, FUTURE-F011, FUTURE-F012</x:v>
      </x:c>
      <x:c r="F73" s="49" t="n">
        <x:v>6</x:v>
      </x:c>
      <x:c r="G73" s="49" t="n">
        <x:v>0</x:v>
      </x:c>
      <x:c r="H73" s="49" t="n">
        <x:v>0</x:v>
      </x:c>
      <x:c r="I73" s="49" t="n">
        <x:v>6</x:v>
      </x:c>
      <x:c r="J73" s="49" t="n">
        <x:v>6</x:v>
      </x:c>
      <x:c r="K73" s="49" t="str">
        <x:v>YES</x:v>
      </x:c>
      <x:c r="L73" s="49" t="str">
        <x:v>Build against current public ports/fixtures; must not change MVP contracts until promoted</x:v>
      </x:c>
    </x:row>
    <x:row r="74" ht="42" customHeight="1">
      <x:c r="A74" s="49" t="str">
        <x:v>I-FWP02</x:v>
      </x:c>
      <x:c r="B74" s="49" t="str">
        <x:v>Kiên</x:v>
      </x:c>
      <x:c r="C74" s="49" t="str">
        <x:v>FUTURE</x:v>
      </x:c>
      <x:c r="D74" s="49" t="str">
        <x:v>Anti-Scam Quiz &amp; Learning Evaluation</x:v>
      </x:c>
      <x:c r="E74" s="49" t="str">
        <x:v>FUTURE-F019, FUTURE-F020</x:v>
      </x:c>
      <x:c r="F74" s="49" t="n">
        <x:v>2</x:v>
      </x:c>
      <x:c r="G74" s="49" t="n">
        <x:v>0</x:v>
      </x:c>
      <x:c r="H74" s="49" t="n">
        <x:v>0</x:v>
      </x:c>
      <x:c r="I74" s="49" t="n">
        <x:v>2</x:v>
      </x:c>
      <x:c r="J74" s="49" t="n">
        <x:v>2</x:v>
      </x:c>
      <x:c r="K74" s="49" t="str">
        <x:v>YES</x:v>
      </x:c>
      <x:c r="L74" s="49" t="str">
        <x:v>Build against current public ports/fixtures; must not change MVP contracts until promoted</x:v>
      </x:c>
    </x:row>
    <x:row r="75" ht="42" customHeight="1">
      <x:c r="A75" s="49" t="str">
        <x:v>T-FWP01</x:v>
      </x:c>
      <x:c r="B75" s="49" t="str">
        <x:v>Thắng</x:v>
      </x:c>
      <x:c r="C75" s="49" t="str">
        <x:v>FUTURE</x:v>
      </x:c>
      <x:c r="D75" s="49" t="str">
        <x:v>Scam Q&amp;A Assistant</x:v>
      </x:c>
      <x:c r="E75" s="49" t="str">
        <x:v>FUTURE-F013, FUTURE-F014, FUTURE-F015, FUTURE-F016, FUTURE-F017, FUTURE-F018</x:v>
      </x:c>
      <x:c r="F75" s="49" t="n">
        <x:v>6</x:v>
      </x:c>
      <x:c r="G75" s="49" t="n">
        <x:v>0</x:v>
      </x:c>
      <x:c r="H75" s="49" t="n">
        <x:v>0</x:v>
      </x:c>
      <x:c r="I75" s="49" t="n">
        <x:v>6</x:v>
      </x:c>
      <x:c r="J75" s="49" t="n">
        <x:v>6</x:v>
      </x:c>
      <x:c r="K75" s="49" t="str">
        <x:v>YES</x:v>
      </x:c>
      <x:c r="L75" s="49" t="str">
        <x:v>Build against current public ports/fixtures; must not change MVP contracts until promoted</x:v>
      </x:c>
    </x:row>
    <x:row r="76" ht="42" customHeight="1">
      <x:c r="A76" s="49" t="str">
        <x:v>T-FWP02</x:v>
      </x:c>
      <x:c r="B76" s="49" t="str">
        <x:v>Thắng</x:v>
      </x:c>
      <x:c r="C76" s="49" t="str">
        <x:v>FUTURE</x:v>
      </x:c>
      <x:c r="D76" s="49" t="str">
        <x:v>Social Sharing for Learning/Engagement</x:v>
      </x:c>
      <x:c r="E76" s="49" t="str">
        <x:v>FUTURE-F024</x:v>
      </x:c>
      <x:c r="F76" s="49" t="n">
        <x:v>1</x:v>
      </x:c>
      <x:c r="G76" s="49" t="n">
        <x:v>0</x:v>
      </x:c>
      <x:c r="H76" s="49" t="n">
        <x:v>0</x:v>
      </x:c>
      <x:c r="I76" s="49" t="n">
        <x:v>1</x:v>
      </x:c>
      <x:c r="J76" s="49" t="n">
        <x:v>1</x:v>
      </x:c>
      <x:c r="K76" s="49" t="str">
        <x:v>YES</x:v>
      </x:c>
      <x:c r="L76" s="49" t="str">
        <x:v>Build against current public ports/fixtures; must not change MVP contracts until promoted</x:v>
      </x:c>
    </x:row>
  </x:sheetData>
  <x:conditionalFormatting sqref="K2:K76">
    <x:cfRule type="expression" dxfId="0" priority="1">
      <x:formula>K2="YES"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1ce24b87b145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26" hidden="0" customWidth="1"/>
    <x:col min="5" max="5" width="32" hidden="0" customWidth="1"/>
    <x:col min="6" max="6" width="28" hidden="0" customWidth="1"/>
    <x:col min="7" max="7" width="10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60" hidden="0" customWidth="1"/>
  </x:cols>
  <x:sheetData>
    <x:row r="1" ht="28" customHeight="1">
      <x:c r="A1" s="68" t="str">
        <x:v>Module</x:v>
      </x:c>
      <x:c r="B1" s="68" t="str">
        <x:v>Tên</x:v>
      </x:c>
      <x:c r="C1" s="68" t="str">
        <x:v>Owner</x:v>
      </x:c>
      <x:c r="D1" s="68" t="str">
        <x:v>Type</x:v>
      </x:c>
      <x:c r="E1" s="68" t="str">
        <x:v>Actor</x:v>
      </x:c>
      <x:c r="F1" s="68" t="str">
        <x:v>Dependencies</x:v>
      </x:c>
      <x:c r="G1" s="68" t="str">
        <x:v>Feature</x:v>
      </x:c>
      <x:c r="H1" s="68" t="str">
        <x:v>WP</x:v>
      </x:c>
      <x:c r="I1" s="68" t="str">
        <x:v>P0</x:v>
      </x:c>
      <x:c r="J1" s="68" t="str">
        <x:v>P1</x:v>
      </x:c>
      <x:c r="K1" s="68" t="str">
        <x:v>P2</x:v>
      </x:c>
      <x:c r="L1" s="68" t="str">
        <x:v>Mục đích</x:v>
      </x:c>
    </x:row>
    <x:row r="2">
      <x:c r="A2" s="59" t="str">
        <x:v>M01</x:v>
      </x:c>
      <x:c r="B2" s="59" t="str">
        <x:v>Account &amp; Identity</x:v>
      </x:c>
      <x:c r="C2" s="59" t="str">
        <x:v>Hùng</x:v>
      </x:c>
      <x:c r="D2" s="59" t="str">
        <x:v>End-to-End Feature</x:v>
      </x:c>
      <x:c r="E2" s="59" t="str">
        <x:v>Guest, User, Admin</x:v>
      </x:c>
      <x:c r="F2" s="59" t="str">
        <x:v>M10; M13; M14</x:v>
      </x:c>
      <x:c r="G2" s="59" t="n">
        <x:v>41</x:v>
      </x:c>
      <x:c r="H2" s="59" t="n">
        <x:v>7</x:v>
      </x:c>
      <x:c r="I2" s="59" t="n">
        <x:v>22</x:v>
      </x:c>
      <x:c r="J2" s="59" t="n">
        <x:v>13</x:v>
      </x:c>
      <x:c r="K2" s="59" t="n">
        <x:v>6</x:v>
      </x:c>
      <x:c r="L2" s="59" t="str">
        <x:v>Cung cấp Guest/Local/Google identity, JWT access token + rotating opaque refresh token + server-side auth session, RBAC, profile và AccessContext thống nhất.</x:v>
      </x:c>
    </x:row>
    <x:row r="3">
      <x:c r="A3" s="59" t="str">
        <x:v>M02</x:v>
      </x:c>
      <x:c r="B3" s="59" t="str">
        <x:v>URL &amp; Website Risk Scan</x:v>
      </x:c>
      <x:c r="C3" s="59" t="str">
        <x:v>Khải</x:v>
      </x:c>
      <x:c r="D3" s="59" t="str">
        <x:v>End-to-End Feature</x:v>
      </x:c>
      <x:c r="E3" s="59" t="str">
        <x:v>Guest, User</x:v>
      </x:c>
      <x:c r="F3" s="59" t="str">
        <x:v>M08; M09; M11 optional; M12; M13; M14</x:v>
      </x:c>
      <x:c r="G3" s="59" t="n">
        <x:v>56</x:v>
      </x:c>
      <x:c r="H3" s="59" t="n">
        <x:v>8</x:v>
      </x:c>
      <x:c r="I3" s="59" t="n">
        <x:v>23</x:v>
      </x:c>
      <x:c r="J3" s="59" t="n">
        <x:v>20</x:v>
      </x:c>
      <x:c r="K3" s="59" t="n">
        <x:v>13</x:v>
      </x:c>
      <x:c r="L3" s="59" t="str">
        <x:v>Quét URL/website bằng lexical, DNS/TLS, redirect, HTML/Form, reputation và optional AI; worker chỉ trả signal, Spring Boot mới tạo final RiskResult.</x:v>
      </x:c>
    </x:row>
    <x:row r="4">
      <x:c r="A4" s="59" t="str">
        <x:v>M03</x:v>
      </x:c>
      <x:c r="B4" s="59" t="str">
        <x:v>Text &amp; Transaction Scam Analysis</x:v>
      </x:c>
      <x:c r="C4" s="59" t="str">
        <x:v>Thắng</x:v>
      </x:c>
      <x:c r="D4" s="59" t="str">
        <x:v>End-to-End Feature</x:v>
      </x:c>
      <x:c r="E4" s="59" t="str">
        <x:v>Guest, User</x:v>
      </x:c>
      <x:c r="F4" s="59" t="str">
        <x:v>M08; M09; M11 optional; M12; M13; M14</x:v>
      </x:c>
      <x:c r="G4" s="59" t="n">
        <x:v>48</x:v>
      </x:c>
      <x:c r="H4" s="59" t="n">
        <x:v>7</x:v>
      </x:c>
      <x:c r="I4" s="59" t="n">
        <x:v>18</x:v>
      </x:c>
      <x:c r="J4" s="59" t="n">
        <x:v>16</x:v>
      </x:c>
      <x:c r="K4" s="59" t="n">
        <x:v>14</x:v>
      </x:c>
      <x:c r="L4" s="59" t="str">
        <x:v>Phân tích tin nhắn, hội thoại và bài đăng giao dịch; trích xuất indicator, phát hiện scam cues/patterns và tạo nested scan khi cần.</x:v>
      </x:c>
    </x:row>
    <x:row r="5">
      <x:c r="A5" s="59" t="str">
        <x:v>M04</x:v>
      </x:c>
      <x:c r="B5" s="59" t="str">
        <x:v>Phone &amp; Bank Reputation Check</x:v>
      </x:c>
      <x:c r="C5" s="59" t="str">
        <x:v>Khải</x:v>
      </x:c>
      <x:c r="D5" s="59" t="str">
        <x:v>End-to-End Feature</x:v>
      </x:c>
      <x:c r="E5" s="59" t="str">
        <x:v>Guest, User</x:v>
      </x:c>
      <x:c r="F5" s="59" t="str">
        <x:v>M08; M09; M12; M13; M14</x:v>
      </x:c>
      <x:c r="G5" s="59" t="n">
        <x:v>18</x:v>
      </x:c>
      <x:c r="H5" s="59" t="n">
        <x:v>3</x:v>
      </x:c>
      <x:c r="I5" s="59" t="n">
        <x:v>8</x:v>
      </x:c>
      <x:c r="J5" s="59" t="n">
        <x:v>6</x:v>
      </x:c>
      <x:c r="K5" s="59" t="n">
        <x:v>4</x:v>
      </x:c>
      <x:c r="L5" s="59" t="str">
        <x:v>Kiểm tra reputation của số điện thoại và tài khoản ngân hàng; worker dùng reputationContext do core cấp và không tự đọc DB/cache.</x:v>
      </x:c>
    </x:row>
    <x:row r="6">
      <x:c r="A6" s="59" t="str">
        <x:v>M05</x:v>
      </x:c>
      <x:c r="B6" s="59" t="str">
        <x:v>QR / VietQR Scan</x:v>
      </x:c>
      <x:c r="C6" s="59" t="str">
        <x:v>Thắng</x:v>
      </x:c>
      <x:c r="D6" s="59" t="str">
        <x:v>End-to-End Feature</x:v>
      </x:c>
      <x:c r="E6" s="59" t="str">
        <x:v>Guest, User</x:v>
      </x:c>
      <x:c r="F6" s="59" t="str">
        <x:v>M02–M04; M09; M12; M13; M14</x:v>
      </x:c>
      <x:c r="G6" s="59" t="n">
        <x:v>10</x:v>
      </x:c>
      <x:c r="H6" s="59" t="n">
        <x:v>2</x:v>
      </x:c>
      <x:c r="I6" s="59" t="n">
        <x:v>7</x:v>
      </x:c>
      <x:c r="J6" s="59" t="n">
        <x:v>1</x:v>
      </x:c>
      <x:c r="K6" s="59" t="n">
        <x:v>2</x:v>
      </x:c>
      <x:c r="L6" s="59" t="str">
        <x:v>Decode/parse QR/VietQR, trích URL/text/bank/amount/content thành derived indicators để Orchestrator tạo nested scan phù hợp.</x:v>
      </x:c>
    </x:row>
    <x:row r="7">
      <x:c r="A7" s="59" t="str">
        <x:v>M06</x:v>
      </x:c>
      <x:c r="B7" s="59" t="str">
        <x:v>Scan Result, History &amp; Export</x:v>
      </x:c>
      <x:c r="C7" s="59" t="str">
        <x:v>Thắng</x:v>
      </x:c>
      <x:c r="D7" s="59" t="str">
        <x:v>End-to-End Feature</x:v>
      </x:c>
      <x:c r="E7" s="59" t="str">
        <x:v>Guest, User; Admin theo quyền</x:v>
      </x:c>
      <x:c r="F7" s="59" t="str">
        <x:v>M01; M09; M12; M13; M14</x:v>
      </x:c>
      <x:c r="G7" s="59" t="n">
        <x:v>21</x:v>
      </x:c>
      <x:c r="H7" s="59" t="n">
        <x:v>5</x:v>
      </x:c>
      <x:c r="I7" s="59" t="n">
        <x:v>7</x:v>
      </x:c>
      <x:c r="J7" s="59" t="n">
        <x:v>9</x:v>
      </x:c>
      <x:c r="K7" s="59" t="n">
        <x:v>5</x:v>
      </x:c>
      <x:c r="L7" s="59" t="str">
        <x:v>Hiển thị RiskResult, evidence/explanation/recommendation, quản lý persistent history cho account và xuất báo cáo PDF/HTML.</x:v>
      </x:c>
    </x:row>
    <x:row r="8">
      <x:c r="A8" s="59" t="str">
        <x:v>M07</x:v>
      </x:c>
      <x:c r="B8" s="59" t="str">
        <x:v>Community Report &amp; Moderation</x:v>
      </x:c>
      <x:c r="C8" s="59" t="str">
        <x:v>Khải</x:v>
      </x:c>
      <x:c r="D8" s="59" t="str">
        <x:v>End-to-End Feature</x:v>
      </x:c>
      <x:c r="E8" s="59" t="str">
        <x:v>User, Moderator/Admin</x:v>
      </x:c>
      <x:c r="F8" s="59" t="str">
        <x:v>M01; M08; M10; M13; M14</x:v>
      </x:c>
      <x:c r="G8" s="59" t="n">
        <x:v>26</x:v>
      </x:c>
      <x:c r="H8" s="59" t="n">
        <x:v>4</x:v>
      </x:c>
      <x:c r="I8" s="59" t="n">
        <x:v>9</x:v>
      </x:c>
      <x:c r="J8" s="59" t="n">
        <x:v>9</x:v>
      </x:c>
      <x:c r="K8" s="59" t="n">
        <x:v>8</x:v>
      </x:c>
      <x:c r="L8" s="59" t="str">
        <x:v>Cho user gửi báo cáo lừa đảo/evidence và moderator/admin duyệt; chỉ report đã xác minh mới có thể trở thành reputation signal.</x:v>
      </x:c>
    </x:row>
    <x:row r="9">
      <x:c r="A9" s="59" t="str">
        <x:v>M08</x:v>
      </x:c>
      <x:c r="B9" s="59" t="str">
        <x:v>Threat Intelligence Management</x:v>
      </x:c>
      <x:c r="C9" s="59" t="str">
        <x:v>Kiên</x:v>
      </x:c>
      <x:c r="D9" s="59" t="str">
        <x:v>Admin/Internal Feature</x:v>
      </x:c>
      <x:c r="E9" s="59" t="str">
        <x:v>Admin, Spring Boot scan core</x:v>
      </x:c>
      <x:c r="F9" s="59" t="str">
        <x:v>M07; M13; M14</x:v>
      </x:c>
      <x:c r="G9" s="59" t="n">
        <x:v>27</x:v>
      </x:c>
      <x:c r="H9" s="59" t="n">
        <x:v>4</x:v>
      </x:c>
      <x:c r="I9" s="59" t="n">
        <x:v>8</x:v>
      </x:c>
      <x:c r="J9" s="59" t="n">
        <x:v>11</x:v>
      </x:c>
      <x:c r="K9" s="59" t="n">
        <x:v>8</x:v>
      </x:c>
      <x:c r="L9" s="59" t="str">
        <x:v>Quản lý threat/risk source, whitelist/blacklist/reputation và pipeline ingestion; core là nơi duy nhất tra dữ liệu uy tín cho scan.</x:v>
      </x:c>
    </x:row>
    <x:row r="10">
      <x:c r="A10" s="59" t="str">
        <x:v>M09</x:v>
      </x:c>
      <x:c r="B10" s="59" t="str">
        <x:v>Rule, Risk Policy &amp; Admin Operations</x:v>
      </x:c>
      <x:c r="C10" s="59" t="str">
        <x:v>Kiên</x:v>
      </x:c>
      <x:c r="D10" s="59" t="str">
        <x:v>Shared/Admin Feature</x:v>
      </x:c>
      <x:c r="E10" s="59" t="str">
        <x:v>Admin, All Scan Modules</x:v>
      </x:c>
      <x:c r="F10" s="59" t="str">
        <x:v>M08; M11; M12; M13; M14</x:v>
      </x:c>
      <x:c r="G10" s="59" t="n">
        <x:v>39</x:v>
      </x:c>
      <x:c r="H10" s="59" t="n">
        <x:v>6</x:v>
      </x:c>
      <x:c r="I10" s="59" t="n">
        <x:v>10</x:v>
      </x:c>
      <x:c r="J10" s="59" t="n">
        <x:v>17</x:v>
      </x:c>
      <x:c r="K10" s="59" t="n">
        <x:v>12</x:v>
      </x:c>
      <x:c r="L10" s="59" t="str">
        <x:v>Quản lý rule/policy, Signal Aggregation, Rule Engine, Risk Fusion, threshold, versioning và admin operations liên quan scoring.</x:v>
      </x:c>
    </x:row>
    <x:row r="11">
      <x:c r="A11" s="59" t="str">
        <x:v>M10</x:v>
      </x:c>
      <x:c r="B11" s="59" t="str">
        <x:v>Notification &amp; User Follow-up</x:v>
      </x:c>
      <x:c r="C11" s="59" t="str">
        <x:v>Hùng</x:v>
      </x:c>
      <x:c r="D11" s="59" t="str">
        <x:v>End-to-End Feature / Shared Delivery Capability</x:v>
      </x:c>
      <x:c r="E11" s="59" t="str">
        <x:v>User, Admin; internal producers M01/M06/M07/M12/M14</x:v>
      </x:c>
      <x:c r="F11" s="59" t="str">
        <x:v>M01; M06; M07; M12; M13; M14</x:v>
      </x:c>
      <x:c r="G11" s="59" t="n">
        <x:v>18</x:v>
      </x:c>
      <x:c r="H11" s="59" t="n">
        <x:v>4</x:v>
      </x:c>
      <x:c r="I11" s="59" t="n">
        <x:v>4</x:v>
      </x:c>
      <x:c r="J11" s="59" t="n">
        <x:v>10</x:v>
      </x:c>
      <x:c r="K11" s="59" t="n">
        <x:v>4</x:v>
      </x:c>
      <x:c r="L11" s="59" t="str">
        <x:v>Tập trung notification policy, channel resolver, template, endpoint và delivery worker; channel/provider agnostic và M10 không sở hữu business truth của OTP/scan/report.</x:v>
      </x:c>
    </x:row>
    <x:row r="12">
      <x:c r="A12" s="59" t="str">
        <x:v>M11</x:v>
      </x:c>
      <x:c r="B12" s="59" t="str">
        <x:v>AI/ML Inference</x:v>
      </x:c>
      <x:c r="C12" s="59" t="str">
        <x:v>Thắng</x:v>
      </x:c>
      <x:c r="D12" s="59" t="str">
        <x:v>Shared Capability</x:v>
      </x:c>
      <x:c r="E12" s="59" t="str">
        <x:v>M02, M03</x:v>
      </x:c>
      <x:c r="F12" s="59" t="str">
        <x:v>M02; M03; M09; M12; M13; M14</x:v>
      </x:c>
      <x:c r="G12" s="59" t="n">
        <x:v>20</x:v>
      </x:c>
      <x:c r="H12" s="59" t="n">
        <x:v>4</x:v>
      </x:c>
      <x:c r="I12" s="59" t="n">
        <x:v>7</x:v>
      </x:c>
      <x:c r="J12" s="59" t="n">
        <x:v>7</x:v>
      </x:c>
      <x:c r="K12" s="59" t="n">
        <x:v>6</x:v>
      </x:c>
      <x:c r="L12" s="59" t="str">
        <x:v>Python AI/ML Worker xử lý AI task bất đồng bộ qua RabbitMQ với provider registry mở; chỉ trả normalized prediction signal, không trả business verdict.</x:v>
      </x:c>
    </x:row>
    <x:row r="13">
      <x:c r="A13" s="59" t="str">
        <x:v>M12</x:v>
      </x:c>
      <x:c r="B13" s="59" t="str">
        <x:v>Shared Scan Platform</x:v>
      </x:c>
      <x:c r="C13" s="59" t="str">
        <x:v>Kiên</x:v>
      </x:c>
      <x:c r="D13" s="59" t="str">
        <x:v>Shared Platform</x:v>
      </x:c>
      <x:c r="E13" s="59" t="str">
        <x:v>M02–M06; phối hợp M08–M11/M14</x:v>
      </x:c>
      <x:c r="F13" s="59" t="str">
        <x:v>M08; M09; M11; M13; M14; M02–M05</x:v>
      </x:c>
      <x:c r="G13" s="59" t="n">
        <x:v>19</x:v>
      </x:c>
      <x:c r="H13" s="59" t="n">
        <x:v>4</x:v>
      </x:c>
      <x:c r="I13" s="59" t="n">
        <x:v>18</x:v>
      </x:c>
      <x:c r="J13" s="59" t="n">
        <x:v>1</x:v>
      </x:c>
      <x:c r="K13" s="59" t="n">
        <x:v>0</x:v>
      </x:c>
      <x:c r="L13" s="59" t="str">
        <x:v>Sở hữu scan lifecycle/orchestration, Guest/User access/quota gate, queue dispatch, result consumption, nested scan, AI task barrier và finalization.</x:v>
      </x:c>
    </x:row>
    <x:row r="14">
      <x:c r="A14" s="59" t="str">
        <x:v>M13</x:v>
      </x:c>
      <x:c r="B14" s="59" t="str">
        <x:v>Platform Infrastructure</x:v>
      </x:c>
      <x:c r="C14" s="59" t="str">
        <x:v>Hùng</x:v>
      </x:c>
      <x:c r="D14" s="59" t="str">
        <x:v>Infrastructure</x:v>
      </x:c>
      <x:c r="E14" s="59" t="str">
        <x:v>Toàn hệ thống</x:v>
      </x:c>
      <x:c r="F14" s="59" t="str">
        <x:v>—</x:v>
      </x:c>
      <x:c r="G14" s="59" t="n">
        <x:v>35</x:v>
      </x:c>
      <x:c r="H14" s="59" t="n">
        <x:v>6</x:v>
      </x:c>
      <x:c r="I14" s="59" t="n">
        <x:v>15</x:v>
      </x:c>
      <x:c r="J14" s="59" t="n">
        <x:v>12</x:v>
      </x:c>
      <x:c r="K14" s="59" t="n">
        <x:v>8</x:v>
      </x:c>
      <x:c r="L14" s="59" t="str">
        <x:v>Cung cấp Nginx, PostgreSQL, Redis, RabbitMQ, MinIO/S3, network isolation, secret management, deployment/CI và health/readiness.</x:v>
      </x:c>
    </x:row>
    <x:row r="15">
      <x:c r="A15" s="59" t="str">
        <x:v>M14</x:v>
      </x:c>
      <x:c r="B15" s="59" t="str">
        <x:v>Audit &amp; Observability</x:v>
      </x:c>
      <x:c r="C15" s="59" t="str">
        <x:v>Kiên</x:v>
      </x:c>
      <x:c r="D15" s="59" t="str">
        <x:v>Shared Platform / Admin Feature</x:v>
      </x:c>
      <x:c r="E15" s="59" t="str">
        <x:v>Admin, Internal Operations</x:v>
      </x:c>
      <x:c r="F15" s="59" t="str">
        <x:v>M01; M12; M13</x:v>
      </x:c>
      <x:c r="G15" s="59" t="n">
        <x:v>11</x:v>
      </x:c>
      <x:c r="H15" s="59" t="n">
        <x:v>3</x:v>
      </x:c>
      <x:c r="I15" s="59" t="n">
        <x:v>5</x:v>
      </x:c>
      <x:c r="J15" s="59" t="n">
        <x:v>4</x:v>
      </x:c>
      <x:c r="K15" s="59" t="n">
        <x:v>2</x:v>
      </x:c>
      <x:c r="L15" s="59" t="str">
        <x:v>Tập trung audit trail và operational metadata cho auth/security, admin, scan/worker/AI, retry/DLQ và correlation chain.</x:v>
      </x:c>
    </x:row>
    <x:row r="16">
      <x:c r="A16" s="59" t="str">
        <x:v>FUTURE</x:v>
      </x:c>
      <x:c r="B16" s="59" t="str">
        <x:v>Product Extensions ngoài M01–M14</x:v>
      </x:c>
      <x:c r="C16" s="59" t="str">
        <x:v>Theo WP</x:v>
      </x:c>
      <x:c r="D16" s="59" t="str">
        <x:v>Future Scope</x:v>
      </x:c>
      <x:c r="E16" s="59" t="str">
        <x:v>User/Admin/API Client tương lai</x:v>
      </x:c>
      <x:c r="F16" s="59" t="str">
        <x:v>—</x:v>
      </x:c>
      <x:c r="G16" s="59" t="n">
        <x:v>33</x:v>
      </x:c>
      <x:c r="H16" s="59" t="n">
        <x:v>8</x:v>
      </x:c>
      <x:c r="I16" s="59" t="n">
        <x:v>0</x:v>
      </x:c>
      <x:c r="J16" s="59" t="n">
        <x:v>0</x:v>
      </x:c>
      <x:c r="K16" s="59" t="n">
        <x:v>33</x:v>
      </x:c>
      <x:c r="L16" s="59" t="str">
        <x:v>Các extension không thuộc MVP: browser extension/knowledge/gamification và commercialization như plan, subscription, usage, credit, API credentials.</x:v>
      </x:c>
    </x:row>
  </x:sheetData>
  <x:pageMargins left="0.7" right="0.7" top="0.75" bottom="0.75" header="0.3" footer="0.3"/>
  <x:tableParts count="1">
    <x:tablePart xmlns:r="http://schemas.openxmlformats.org/officeDocument/2006/relationships" r:id="Ra76041c11f8e44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3" hidden="0" customWidth="1"/>
    <x:col min="4" max="4" width="14" hidden="0" customWidth="1"/>
    <x:col min="5" max="5" width="9" hidden="0" customWidth="1"/>
    <x:col min="6" max="6" width="15" hidden="0" customWidth="1"/>
    <x:col min="7" max="7" width="72" hidden="0" customWidth="1"/>
    <x:col min="8" max="8" width="26" hidden="0" customWidth="1"/>
    <x:col min="9" max="9" width="22" hidden="0" customWidth="1"/>
  </x:cols>
  <x:sheetData>
    <x:row r="1" ht="28" customHeight="1">
      <x:c r="A1" s="68" t="str">
        <x:v>ID</x:v>
      </x:c>
      <x:c r="B1" s="68" t="str">
        <x:v>Module</x:v>
      </x:c>
      <x:c r="C1" s="68" t="str">
        <x:v>Work Package</x:v>
      </x:c>
      <x:c r="D1" s="68" t="str">
        <x:v>Owner hiện tại</x:v>
      </x:c>
      <x:c r="E1" s="68" t="str">
        <x:v>Priority</x:v>
      </x:c>
      <x:c r="F1" s="68" t="str">
        <x:v>Action</x:v>
      </x:c>
      <x:c r="G1" s="68" t="str">
        <x:v>Feature hiện tại</x:v>
      </x:c>
      <x:c r="H1" s="68" t="str">
        <x:v>Legacy/Source</x:v>
      </x:c>
      <x:c r="I1" s="68" t="str">
        <x:v>Legacy owner (trace only)</x:v>
      </x:c>
    </x:row>
    <x:row r="2" ht="36" customHeight="1">
      <x:c r="A2" s="49" t="str">
        <x:v>M01-F001</x:v>
      </x:c>
      <x:c r="B2" s="49" t="str">
        <x:v>M01</x:v>
      </x:c>
      <x:c r="C2" s="49" t="str">
        <x:v>H-WP01</x:v>
      </x:c>
      <x:c r="D2" s="49" t="str">
        <x:v>Hùng</x:v>
      </x:c>
      <x:c r="E2" s="49" t="str">
        <x:v>P0</x:v>
      </x:c>
      <x:c r="F2" s="49" t="str">
        <x:v>MODIFY</x:v>
      </x:c>
      <x:c r="G2" s="49" t="str">
        <x:v>Đăng ký Local bằng email + mật khẩu; validate định dạng, độ mạnh mật khẩu và profile tối thiểu.</x:v>
      </x:c>
      <x:c r="H2" s="49" t="str">
        <x:v>H01-01 + V3.3</x:v>
      </x:c>
      <x:c r="I2" s="49" t="str">
        <x:v>Hùng</x:v>
      </x:c>
    </x:row>
    <x:row r="3" ht="36" customHeight="1">
      <x:c r="A3" s="49" t="str">
        <x:v>M01-F002</x:v>
      </x:c>
      <x:c r="B3" s="49" t="str">
        <x:v>M01</x:v>
      </x:c>
      <x:c r="C3" s="49" t="str">
        <x:v>H-WP01</x:v>
      </x:c>
      <x:c r="D3" s="49" t="str">
        <x:v>Hùng</x:v>
      </x:c>
      <x:c r="E3" s="49" t="str">
        <x:v>P0</x:v>
      </x:c>
      <x:c r="F3" s="49" t="str">
        <x:v>MODIFY</x:v>
      </x:c>
      <x:c r="G3" s="49" t="str">
        <x:v>Hash mật khẩu Local bằng BCrypt cost phù hợp; password hash chỉ nằm trong `local_credentials`, không ghi log.</x:v>
      </x:c>
      <x:c r="H3" s="49" t="str">
        <x:v>H01-02 + V3.3</x:v>
      </x:c>
      <x:c r="I3" s="49" t="str">
        <x:v>Hùng</x:v>
      </x:c>
    </x:row>
    <x:row r="4" ht="36" customHeight="1">
      <x:c r="A4" s="49" t="str">
        <x:v>M01-F003</x:v>
      </x:c>
      <x:c r="B4" s="49" t="str">
        <x:v>M01</x:v>
      </x:c>
      <x:c r="C4" s="49" t="str">
        <x:v>H-WP01</x:v>
      </x:c>
      <x:c r="D4" s="49" t="str">
        <x:v>Hùng</x:v>
      </x:c>
      <x:c r="E4" s="49" t="str">
        <x:v>P0</x:v>
      </x:c>
      <x:c r="F4" s="49" t="str">
        <x:v>MODIFY</x:v>
      </x:c>
      <x:c r="G4" s="49" t="str">
        <x:v>Chuẩn hoá email (trim/lowercase) trước khi lưu/so sánh và enforce UNIQUE trên `users.email`; MVP không có `username`/public handle unique.</x:v>
      </x:c>
      <x:c r="H4" s="49" t="str">
        <x:v>H01-03 + MODSPEC-V1.3</x:v>
      </x:c>
      <x:c r="I4" s="49" t="str">
        <x:v>Hùng</x:v>
      </x:c>
    </x:row>
    <x:row r="5" ht="36" customHeight="1">
      <x:c r="A5" s="49" t="str">
        <x:v>M01-F004</x:v>
      </x:c>
      <x:c r="B5" s="49" t="str">
        <x:v>M01</x:v>
      </x:c>
      <x:c r="C5" s="49" t="str">
        <x:v>H-WP01</x:v>
      </x:c>
      <x:c r="D5" s="49" t="str">
        <x:v>Hùng</x:v>
      </x:c>
      <x:c r="E5" s="49" t="str">
        <x:v>P0</x:v>
      </x:c>
      <x:c r="F5" s="49" t="str">
        <x:v>MODIFY</x:v>
      </x:c>
      <x:c r="G5" s="49" t="str">
        <x:v>Xác thực email bằng OTP/challenge do M01 sở hữu: lưu hash, expiry, attempt count và single-use consume; M10 chỉ chịu trách nhiệm delivery.</x:v>
      </x:c>
      <x:c r="H5" s="49" t="str">
        <x:v>H01-04 + V3.3</x:v>
      </x:c>
      <x:c r="I5" s="49" t="str">
        <x:v>Hùng</x:v>
      </x:c>
    </x:row>
    <x:row r="6" ht="36" customHeight="1">
      <x:c r="A6" s="49" t="str">
        <x:v>M01-F005</x:v>
      </x:c>
      <x:c r="B6" s="49" t="str">
        <x:v>M01</x:v>
      </x:c>
      <x:c r="C6" s="49" t="str">
        <x:v>H-WP01</x:v>
      </x:c>
      <x:c r="D6" s="49" t="str">
        <x:v>Hùng</x:v>
      </x:c>
      <x:c r="E6" s="49" t="str">
        <x:v>P1</x:v>
      </x:c>
      <x:c r="F6" s="49" t="str">
        <x:v>MODIFY</x:v>
      </x:c>
      <x:c r="G6" s="49" t="str">
        <x:v>Cho phép resend email-verification OTP/challenge với rate limit; challenge cũ được expire/replace theo policy.</x:v>
      </x:c>
      <x:c r="H6" s="49" t="str">
        <x:v>H01-05 + V3.3</x:v>
      </x:c>
      <x:c r="I6" s="49" t="str">
        <x:v>Hùng</x:v>
      </x:c>
    </x:row>
    <x:row r="7" ht="36" customHeight="1">
      <x:c r="A7" s="49" t="str">
        <x:v>M01-F006</x:v>
      </x:c>
      <x:c r="B7" s="49" t="str">
        <x:v>M01</x:v>
      </x:c>
      <x:c r="C7" s="49" t="str">
        <x:v>H-WP02</x:v>
      </x:c>
      <x:c r="D7" s="49" t="str">
        <x:v>Hùng</x:v>
      </x:c>
      <x:c r="E7" s="49" t="str">
        <x:v>P0</x:v>
      </x:c>
      <x:c r="F7" s="49" t="str">
        <x:v>MODIFY</x:v>
      </x:c>
      <x:c r="G7" s="49" t="str">
        <x:v>Đăng nhập bằng Google OAuth 2.0 / OpenID Connect qua external identity adapter; định danh bằng `providerKey=google` + Google `sub`, không dùng email làm identity primary.</x:v>
      </x:c>
      <x:c r="H7" s="49" t="str">
        <x:v>H01-06 + V3.3</x:v>
      </x:c>
      <x:c r="I7" s="49" t="str">
        <x:v>Hùng</x:v>
      </x:c>
    </x:row>
    <x:row r="8" ht="36" customHeight="1">
      <x:c r="A8" s="49" t="str">
        <x:v>M01-F007</x:v>
      </x:c>
      <x:c r="B8" s="49" t="str">
        <x:v>M01</x:v>
      </x:c>
      <x:c r="C8" s="49" t="str">
        <x:v>H-WP02</x:v>
      </x:c>
      <x:c r="D8" s="49" t="str">
        <x:v>Hùng</x:v>
      </x:c>
      <x:c r="E8" s="49" t="str">
        <x:v>P0</x:v>
      </x:c>
      <x:c r="F8" s="49" t="str">
        <x:v>MODIFY</x:v>
      </x:c>
      <x:c r="G8" s="49" t="str">
        <x:v>Guest được scan URL/Text/Entity/QR mà không cần tài khoản; dùng ephemeral `AccessContext`, quota thấp hơn và không có persistent account history.</x:v>
      </x:c>
      <x:c r="H8" s="49" t="str">
        <x:v>H01-07 + MODSPEC-V1.3</x:v>
      </x:c>
      <x:c r="I8" s="49" t="str">
        <x:v>Hùng</x:v>
      </x:c>
    </x:row>
    <x:row r="9" ht="36" customHeight="1">
      <x:c r="A9" s="49" t="str">
        <x:v>M01-F008</x:v>
      </x:c>
      <x:c r="B9" s="49" t="str">
        <x:v>M01</x:v>
      </x:c>
      <x:c r="C9" s="49" t="str">
        <x:v>H-WP03</x:v>
      </x:c>
      <x:c r="D9" s="49" t="str">
        <x:v>Hùng</x:v>
      </x:c>
      <x:c r="E9" s="49" t="str">
        <x:v>P0</x:v>
      </x:c>
      <x:c r="F9" s="49" t="str">
        <x:v>MODIFY</x:v>
      </x:c>
      <x:c r="G9" s="49" t="str">
        <x:v>Sau Local/Google authentication thành công: tạo server-side `auth_session`, cấp JWT access token ngắn hạn (mặc định 15 phút) + opaque refresh token dài hạn (mặc định 30 ngày).</x:v>
      </x:c>
      <x:c r="H9" s="49" t="str">
        <x:v>H02-01 + V3.3</x:v>
      </x:c>
      <x:c r="I9" s="49" t="str">
        <x:v>Hùng</x:v>
      </x:c>
    </x:row>
    <x:row r="10" ht="36" customHeight="1">
      <x:c r="A10" s="49" t="str">
        <x:v>M01-F009</x:v>
      </x:c>
      <x:c r="B10" s="49" t="str">
        <x:v>M01</x:v>
      </x:c>
      <x:c r="C10" s="49" t="str">
        <x:v>H-WP03</x:v>
      </x:c>
      <x:c r="D10" s="49" t="str">
        <x:v>Hùng</x:v>
      </x:c>
      <x:c r="E10" s="49" t="str">
        <x:v>P0</x:v>
      </x:c>
      <x:c r="F10" s="49" t="str">
        <x:v>MODIFY</x:v>
      </x:c>
      <x:c r="G10" s="49" t="str">
        <x:v>Refresh token là high-entropy opaque credential; DB chỉ lưu `token_hash`, `session_id`, `token_family_id` và metadata rotation; không persist/log raw refresh token.</x:v>
      </x:c>
      <x:c r="H10" s="49" t="str">
        <x:v>H02-02 + V3.3</x:v>
      </x:c>
      <x:c r="I10" s="49" t="str">
        <x:v>Hùng</x:v>
      </x:c>
    </x:row>
    <x:row r="11" ht="36" customHeight="1">
      <x:c r="A11" s="49" t="str">
        <x:v>M01-F010</x:v>
      </x:c>
      <x:c r="B11" s="49" t="str">
        <x:v>M01</x:v>
      </x:c>
      <x:c r="C11" s="49" t="str">
        <x:v>H-WP03</x:v>
      </x:c>
      <x:c r="D11" s="49" t="str">
        <x:v>Hùng</x:v>
      </x:c>
      <x:c r="E11" s="49" t="str">
        <x:v>P0</x:v>
      </x:c>
      <x:c r="F11" s="49" t="str">
        <x:v>MODIFY</x:v>
      </x:c>
      <x:c r="G11" s="49" t="str">
        <x:v>Logout phiên hiện tại revoke `auth_session` và refresh-token family tương ứng; access JWT mang `sid` phải bị từ chối khi session đã revoked/expired.</x:v>
      </x:c>
      <x:c r="H11" s="49" t="str">
        <x:v>H02-03 + V3.3</x:v>
      </x:c>
      <x:c r="I11" s="49" t="str">
        <x:v>Hùng</x:v>
      </x:c>
    </x:row>
    <x:row r="12" ht="36" customHeight="1">
      <x:c r="A12" s="49" t="str">
        <x:v>M01-F011</x:v>
      </x:c>
      <x:c r="B12" s="49" t="str">
        <x:v>M01</x:v>
      </x:c>
      <x:c r="C12" s="49" t="str">
        <x:v>H-WP03</x:v>
      </x:c>
      <x:c r="D12" s="49" t="str">
        <x:v>Hùng</x:v>
      </x:c>
      <x:c r="E12" s="49" t="str">
        <x:v>P0</x:v>
      </x:c>
      <x:c r="F12" s="49" t="str">
        <x:v>MODIFY</x:v>
      </x:c>
      <x:c r="G12" s="49" t="str">
        <x:v>Refresh token rotation ở mỗi lần refresh: token cũ được consume/replaced, token mới cùng family được cấp atomically.</x:v>
      </x:c>
      <x:c r="H12" s="49" t="str">
        <x:v>H02-04 + V3.3</x:v>
      </x:c>
      <x:c r="I12" s="49" t="str">
        <x:v>Hùng</x:v>
      </x:c>
    </x:row>
    <x:row r="13" ht="36" customHeight="1">
      <x:c r="A13" s="49" t="str">
        <x:v>M01-F012</x:v>
      </x:c>
      <x:c r="B13" s="49" t="str">
        <x:v>M01</x:v>
      </x:c>
      <x:c r="C13" s="49" t="str">
        <x:v>H-WP03</x:v>
      </x:c>
      <x:c r="D13" s="49" t="str">
        <x:v>Hùng</x:v>
      </x:c>
      <x:c r="E13" s="49" t="str">
        <x:v>P0</x:v>
      </x:c>
      <x:c r="F13" s="49" t="str">
        <x:v>MODIFY</x:v>
      </x:c>
      <x:c r="G13" s="49" t="str">
        <x:v>Phát hiện refresh-token reuse: revoke toàn bộ token family + `auth_session`, trả 401 và phát security notification qua M10.</x:v>
      </x:c>
      <x:c r="H13" s="49" t="str">
        <x:v>H02-05 + V3.3</x:v>
      </x:c>
      <x:c r="I13" s="49" t="str">
        <x:v>Hùng</x:v>
      </x:c>
    </x:row>
    <x:row r="14" ht="36" customHeight="1">
      <x:c r="A14" s="49" t="str">
        <x:v>M01-F013</x:v>
      </x:c>
      <x:c r="B14" s="49" t="str">
        <x:v>M01</x:v>
      </x:c>
      <x:c r="C14" s="49" t="str">
        <x:v>H-WP03</x:v>
      </x:c>
      <x:c r="D14" s="49" t="str">
        <x:v>Hùng</x:v>
      </x:c>
      <x:c r="E14" s="49" t="str">
        <x:v>P1</x:v>
      </x:c>
      <x:c r="F14" s="49" t="str">
        <x:v>MODIFY</x:v>
      </x:c>
      <x:c r="G14" s="49" t="str">
        <x:v>Đăng xuất khỏi tất cả thiết bị: revoke toàn bộ `auth_sessions` và refresh-token families của user.</x:v>
      </x:c>
      <x:c r="H14" s="49" t="str">
        <x:v>H02-06 + V3.3</x:v>
      </x:c>
      <x:c r="I14" s="49" t="str">
        <x:v>Hùng</x:v>
      </x:c>
    </x:row>
    <x:row r="15" ht="36" customHeight="1">
      <x:c r="A15" s="49" t="str">
        <x:v>M01-F014</x:v>
      </x:c>
      <x:c r="B15" s="49" t="str">
        <x:v>M01</x:v>
      </x:c>
      <x:c r="C15" s="49" t="str">
        <x:v>H-WP03</x:v>
      </x:c>
      <x:c r="D15" s="49" t="str">
        <x:v>Hùng</x:v>
      </x:c>
      <x:c r="E15" s="49" t="str">
        <x:v>P1</x:v>
      </x:c>
      <x:c r="F15" s="49" t="str">
        <x:v>MODIFY</x:v>
      </x:c>
      <x:c r="G15" s="49" t="str">
        <x:v>Mỗi login/device có một server-side `auth_session` riêng với lifecycle ACTIVE/REVOKED/EXPIRED; hỗ trợ truy vấn và thu hồi từng phiên.</x:v>
      </x:c>
      <x:c r="H15" s="49" t="str">
        <x:v>H02-07 + V3.3</x:v>
      </x:c>
      <x:c r="I15" s="49" t="str">
        <x:v>Hùng</x:v>
      </x:c>
    </x:row>
    <x:row r="16" ht="36" customHeight="1">
      <x:c r="A16" s="49" t="str">
        <x:v>M01-F015</x:v>
      </x:c>
      <x:c r="B16" s="49" t="str">
        <x:v>M01</x:v>
      </x:c>
      <x:c r="C16" s="49" t="str">
        <x:v>H-WP04</x:v>
      </x:c>
      <x:c r="D16" s="49" t="str">
        <x:v>Hùng</x:v>
      </x:c>
      <x:c r="E16" s="49" t="str">
        <x:v>P0</x:v>
      </x:c>
      <x:c r="F16" s="49" t="str">
        <x:v>MODIFY</x:v>
      </x:c>
      <x:c r="G16" s="49" t="str">
        <x:v>Xem hồ sơ gồm email, fullName, displayName, dateOfBirth, avatarUrl, emailVerified và roles; không hiển thị `username` vì MVP không có public handle unique.</x:v>
      </x:c>
      <x:c r="H16" s="49" t="str">
        <x:v>H03-01 + MODSPEC-V1.3</x:v>
      </x:c>
      <x:c r="I16" s="49" t="str">
        <x:v>Hùng</x:v>
      </x:c>
    </x:row>
    <x:row r="17" ht="36" customHeight="1">
      <x:c r="A17" s="49" t="str">
        <x:v>M01-F016</x:v>
      </x:c>
      <x:c r="B17" s="49" t="str">
        <x:v>M01</x:v>
      </x:c>
      <x:c r="C17" s="49" t="str">
        <x:v>H-WP04</x:v>
      </x:c>
      <x:c r="D17" s="49" t="str">
        <x:v>Hùng</x:v>
      </x:c>
      <x:c r="E17" s="49" t="str">
        <x:v>P0</x:v>
      </x:c>
      <x:c r="F17" s="49" t="str">
        <x:v>MODIFY</x:v>
      </x:c>
      <x:c r="G17" s="49" t="str">
        <x:v>Đổi mật khẩu: xác minh current password + `PASSWORD_CHANGE` OTP challenge theo policy; sau đổi áp dụng revoke/rotate session và gửi security notification.</x:v>
      </x:c>
      <x:c r="H17" s="49" t="str">
        <x:v>H03-02 + V3.3</x:v>
      </x:c>
      <x:c r="I17" s="49" t="str">
        <x:v>Hùng</x:v>
      </x:c>
    </x:row>
    <x:row r="18" ht="36" customHeight="1">
      <x:c r="A18" s="49" t="str">
        <x:v>M01-F017</x:v>
      </x:c>
      <x:c r="B18" s="49" t="str">
        <x:v>M01</x:v>
      </x:c>
      <x:c r="C18" s="49" t="str">
        <x:v>H-WP04</x:v>
      </x:c>
      <x:c r="D18" s="49" t="str">
        <x:v>Hùng</x:v>
      </x:c>
      <x:c r="E18" s="49" t="str">
        <x:v>P1</x:v>
      </x:c>
      <x:c r="F18" s="49" t="str">
        <x:v>MODIFY</x:v>
      </x:c>
      <x:c r="G18" s="49" t="str">
        <x:v>Cập nhật profile `fullName`, `displayName`, `dateOfBirth`, `avatarUrl` và hiển thị trạng thái email verification.</x:v>
      </x:c>
      <x:c r="H18" s="49" t="str">
        <x:v>H03-03 + MODSPEC-V1.3</x:v>
      </x:c>
      <x:c r="I18" s="49" t="str">
        <x:v>Hùng</x:v>
      </x:c>
    </x:row>
    <x:row r="19" ht="36" customHeight="1">
      <x:c r="A19" s="49" t="str">
        <x:v>M01-F018</x:v>
      </x:c>
      <x:c r="B19" s="49" t="str">
        <x:v>M01</x:v>
      </x:c>
      <x:c r="C19" s="49" t="str">
        <x:v>H-WP04</x:v>
      </x:c>
      <x:c r="D19" s="49" t="str">
        <x:v>Hùng</x:v>
      </x:c>
      <x:c r="E19" s="49" t="str">
        <x:v>P0</x:v>
      </x:c>
      <x:c r="F19" s="49" t="str">
        <x:v>MODIFY</x:v>
      </x:c>
      <x:c r="G19" s="49" t="str">
        <x:v>Forgot/Reset Password bằng OTP challenge: response trung tính chống account enumeration; reset thành công đổi credential và revoke toàn bộ session/token family theo policy.</x:v>
      </x:c>
      <x:c r="H19" s="49" t="str">
        <x:v>H03-04 + V3.3</x:v>
      </x:c>
      <x:c r="I19" s="49" t="str">
        <x:v>Hùng</x:v>
      </x:c>
    </x:row>
    <x:row r="20" ht="36" customHeight="1">
      <x:c r="A20" s="49" t="str">
        <x:v>M01-F019</x:v>
      </x:c>
      <x:c r="B20" s="49" t="str">
        <x:v>M01</x:v>
      </x:c>
      <x:c r="C20" s="49" t="str">
        <x:v>H-WP02</x:v>
      </x:c>
      <x:c r="D20" s="49" t="str">
        <x:v>Hùng</x:v>
      </x:c>
      <x:c r="E20" s="49" t="str">
        <x:v>P0</x:v>
      </x:c>
      <x:c r="F20" s="49" t="str">
        <x:v>MODIFY</x:v>
      </x:c>
      <x:c r="G20" s="49" t="str">
        <x:v>Chuẩn hoá mọi auth method (Local/Google/future provider) thành cùng `AuthResult` + `AccessContext`/`AuthenticatedPrincipal`; downstream không branch theo auth method.</x:v>
      </x:c>
      <x:c r="H20" s="49" t="str">
        <x:v>H03-05 + V3.3</x:v>
      </x:c>
      <x:c r="I20" s="49" t="str">
        <x:v>Hùng</x:v>
      </x:c>
    </x:row>
    <x:row r="21" ht="36" customHeight="1">
      <x:c r="A21" s="49" t="str">
        <x:v>M01-F020</x:v>
      </x:c>
      <x:c r="B21" s="49" t="str">
        <x:v>M01</x:v>
      </x:c>
      <x:c r="C21" s="49" t="str">
        <x:v>H-WP02</x:v>
      </x:c>
      <x:c r="D21" s="49" t="str">
        <x:v>Hùng</x:v>
      </x:c>
      <x:c r="E21" s="49" t="str">
        <x:v>P1</x:v>
      </x:c>
      <x:c r="F21" s="49" t="str">
        <x:v>MODIFY</x:v>
      </x:c>
      <x:c r="G21" s="49" t="str">
        <x:v>Account linking có kiểm soát giữa Local credential và external identity; Google-only account có thể không có `local_credentials`.</x:v>
      </x:c>
      <x:c r="H21" s="49" t="str">
        <x:v>H03-06 + V3.3</x:v>
      </x:c>
      <x:c r="I21" s="49" t="str">
        <x:v>Hùng</x:v>
      </x:c>
    </x:row>
    <x:row r="22" ht="36" customHeight="1">
      <x:c r="A22" s="49" t="str">
        <x:v>M01-F021</x:v>
      </x:c>
      <x:c r="B22" s="49" t="str">
        <x:v>M01</x:v>
      </x:c>
      <x:c r="C22" s="49" t="str">
        <x:v>H-WP05</x:v>
      </x:c>
      <x:c r="D22" s="49" t="str">
        <x:v>Hùng</x:v>
      </x:c>
      <x:c r="E22" s="49" t="str">
        <x:v>P0</x:v>
      </x:c>
      <x:c r="F22" s="49" t="str">
        <x:v>MODIFY</x:v>
      </x:c>
      <x:c r="G22" s="49" t="str">
        <x:v>RBAC với các role `USER`, `MODERATOR`, `ADMIN`; roles được đưa vào `AccessContext` và có thể phản ánh trong JWT claims.</x:v>
      </x:c>
      <x:c r="H22" s="49" t="str">
        <x:v>H04-01 + MODSPEC-V1.3</x:v>
      </x:c>
      <x:c r="I22" s="49" t="str">
        <x:v>Hùng</x:v>
      </x:c>
    </x:row>
    <x:row r="23" ht="36" customHeight="1">
      <x:c r="A23" s="49" t="str">
        <x:v>M01-F022</x:v>
      </x:c>
      <x:c r="B23" s="49" t="str">
        <x:v>M01</x:v>
      </x:c>
      <x:c r="C23" s="49" t="str">
        <x:v>H-WP05</x:v>
      </x:c>
      <x:c r="D23" s="49" t="str">
        <x:v>Hùng</x:v>
      </x:c>
      <x:c r="E23" s="49" t="str">
        <x:v>P0</x:v>
      </x:c>
      <x:c r="F23" s="49" t="str">
        <x:v>MODIFY</x:v>
      </x:c>
      <x:c r="G23" s="49" t="str">
        <x:v>Bảo vệ toàn bộ route/admin operation bằng backend authorization/RBAC; unauthorized trả 401/403 chuẩn hoá.</x:v>
      </x:c>
      <x:c r="H23" s="49" t="str">
        <x:v>H04-02 + MODSPEC-V1.3</x:v>
      </x:c>
      <x:c r="I23" s="49" t="str">
        <x:v>Hùng</x:v>
      </x:c>
    </x:row>
    <x:row r="24" ht="36" customHeight="1">
      <x:c r="A24" s="49" t="str">
        <x:v>M01-F023</x:v>
      </x:c>
      <x:c r="B24" s="49" t="str">
        <x:v>M01</x:v>
      </x:c>
      <x:c r="C24" s="49" t="str">
        <x:v>H-WP05</x:v>
      </x:c>
      <x:c r="D24" s="49" t="str">
        <x:v>Hùng</x:v>
      </x:c>
      <x:c r="E24" s="49" t="str">
        <x:v>P0</x:v>
      </x:c>
      <x:c r="F24" s="49" t="str">
        <x:v>MODIFY</x:v>
      </x:c>
      <x:c r="G24" s="49" t="str">
        <x:v>Route guard phía Next.js/Admin Dashboard để ẩn/chặn UI trái quyền; backend vẫn là nguồn quyết định authorization cuối.</x:v>
      </x:c>
      <x:c r="H24" s="49" t="str">
        <x:v>H04-03 + MODSPEC-V1.3</x:v>
      </x:c>
      <x:c r="I24" s="49" t="str">
        <x:v>Hùng</x:v>
      </x:c>
    </x:row>
    <x:row r="25" ht="36" customHeight="1">
      <x:c r="A25" s="49" t="str">
        <x:v>M01-F024</x:v>
      </x:c>
      <x:c r="B25" s="49" t="str">
        <x:v>M01</x:v>
      </x:c>
      <x:c r="C25" s="49" t="str">
        <x:v>H-WP05</x:v>
      </x:c>
      <x:c r="D25" s="49" t="str">
        <x:v>Hùng</x:v>
      </x:c>
      <x:c r="E25" s="49" t="str">
        <x:v>P1</x:v>
      </x:c>
      <x:c r="F25" s="49" t="str">
        <x:v>MODIFY</x:v>
      </x:c>
      <x:c r="G25" s="49" t="str">
        <x:v>Vai trò `MODERATOR` được quyền moderation theo policy nhưng không mặc định có quyền sửa rule/risk policy.</x:v>
      </x:c>
      <x:c r="H25" s="49" t="str">
        <x:v>H04-04 + MODSPEC-V1.3</x:v>
      </x:c>
      <x:c r="I25" s="49" t="str">
        <x:v>Hùng</x:v>
      </x:c>
    </x:row>
    <x:row r="26" ht="36" customHeight="1">
      <x:c r="A26" s="49" t="str">
        <x:v>M01-F025</x:v>
      </x:c>
      <x:c r="B26" s="49" t="str">
        <x:v>M01</x:v>
      </x:c>
      <x:c r="C26" s="49" t="str">
        <x:v>H-WP05</x:v>
      </x:c>
      <x:c r="D26" s="49" t="str">
        <x:v>Hùng</x:v>
      </x:c>
      <x:c r="E26" s="49" t="str">
        <x:v>P1</x:v>
      </x:c>
      <x:c r="F26" s="49" t="str">
        <x:v>KEEP</x:v>
      </x:c>
      <x:c r="G26" s="49" t="str">
        <x:v>Trang quản lý người dùng cho admin (danh sách, phân trang, lọc theo vai trò/trạng thái)</x:v>
      </x:c>
      <x:c r="H26" s="49" t="str">
        <x:v>H04-05</x:v>
      </x:c>
      <x:c r="I26" s="49" t="str">
        <x:v>Hùng</x:v>
      </x:c>
    </x:row>
    <x:row r="27" ht="36" customHeight="1">
      <x:c r="A27" s="49" t="str">
        <x:v>M01-F026</x:v>
      </x:c>
      <x:c r="B27" s="49" t="str">
        <x:v>M01</x:v>
      </x:c>
      <x:c r="C27" s="49" t="str">
        <x:v>H-WP05</x:v>
      </x:c>
      <x:c r="D27" s="49" t="str">
        <x:v>Hùng</x:v>
      </x:c>
      <x:c r="E27" s="49" t="str">
        <x:v>P1</x:v>
      </x:c>
      <x:c r="F27" s="49" t="str">
        <x:v>KEEP</x:v>
      </x:c>
      <x:c r="G27" s="49" t="str">
        <x:v>Khoá / mở khoá tài khoản, kèm lý do</x:v>
      </x:c>
      <x:c r="H27" s="49" t="str">
        <x:v>H04-06</x:v>
      </x:c>
      <x:c r="I27" s="49" t="str">
        <x:v>Hùng</x:v>
      </x:c>
    </x:row>
    <x:row r="28" ht="36" customHeight="1">
      <x:c r="A28" s="49" t="str">
        <x:v>M01-F027</x:v>
      </x:c>
      <x:c r="B28" s="49" t="str">
        <x:v>M01</x:v>
      </x:c>
      <x:c r="C28" s="49" t="str">
        <x:v>H-WP05</x:v>
      </x:c>
      <x:c r="D28" s="49" t="str">
        <x:v>Hùng</x:v>
      </x:c>
      <x:c r="E28" s="49" t="str">
        <x:v>P2</x:v>
      </x:c>
      <x:c r="F28" s="49" t="str">
        <x:v>KEEP</x:v>
      </x:c>
      <x:c r="G28" s="49" t="str">
        <x:v>Phân quyền chi tiết theo permission thay vì theo vai trò</x:v>
      </x:c>
      <x:c r="H28" s="49" t="str">
        <x:v>H04-07</x:v>
      </x:c>
      <x:c r="I28" s="49" t="str">
        <x:v>Hùng</x:v>
      </x:c>
    </x:row>
    <x:row r="29" ht="36" customHeight="1">
      <x:c r="A29" s="49" t="str">
        <x:v>M01-F028</x:v>
      </x:c>
      <x:c r="B29" s="49" t="str">
        <x:v>M01</x:v>
      </x:c>
      <x:c r="C29" s="49" t="str">
        <x:v>H-WP06</x:v>
      </x:c>
      <x:c r="D29" s="49" t="str">
        <x:v>Hùng</x:v>
      </x:c>
      <x:c r="E29" s="49" t="str">
        <x:v>P1</x:v>
      </x:c>
      <x:c r="F29" s="49" t="str">
        <x:v>KEEP</x:v>
      </x:c>
      <x:c r="G29" s="49" t="str">
        <x:v>Xác thực hai lớp bằng TOTP (Google Authenticator)</x:v>
      </x:c>
      <x:c r="H29" s="49" t="str">
        <x:v>H06-01</x:v>
      </x:c>
      <x:c r="I29" s="49" t="str">
        <x:v>Hùng</x:v>
      </x:c>
    </x:row>
    <x:row r="30" ht="36" customHeight="1">
      <x:c r="A30" s="49" t="str">
        <x:v>M01-F029</x:v>
      </x:c>
      <x:c r="B30" s="49" t="str">
        <x:v>M01</x:v>
      </x:c>
      <x:c r="C30" s="49" t="str">
        <x:v>H-WP06</x:v>
      </x:c>
      <x:c r="D30" s="49" t="str">
        <x:v>Hùng</x:v>
      </x:c>
      <x:c r="E30" s="49" t="str">
        <x:v>P1</x:v>
      </x:c>
      <x:c r="F30" s="49" t="str">
        <x:v>MODIFY</x:v>
      </x:c>
      <x:c r="G30" s="49" t="str">
        <x:v>UI/API quản lý danh sách phiên đăng nhập theo thiết bị/login và thu hồi một `auth_session` cụ thể.</x:v>
      </x:c>
      <x:c r="H30" s="49" t="str">
        <x:v>H06-02 + V3.3</x:v>
      </x:c>
      <x:c r="I30" s="49" t="str">
        <x:v>Hùng</x:v>
      </x:c>
    </x:row>
    <x:row r="31" ht="36" customHeight="1">
      <x:c r="A31" s="49" t="str">
        <x:v>M01-F030</x:v>
      </x:c>
      <x:c r="B31" s="49" t="str">
        <x:v>M01</x:v>
      </x:c>
      <x:c r="C31" s="49" t="str">
        <x:v>H-WP06</x:v>
      </x:c>
      <x:c r="D31" s="49" t="str">
        <x:v>Hùng</x:v>
      </x:c>
      <x:c r="E31" s="49" t="str">
        <x:v>P1</x:v>
      </x:c>
      <x:c r="F31" s="49" t="str">
        <x:v>MODIFY</x:v>
      </x:c>
      <x:c r="G31" s="49" t="str">
        <x:v>Security notification khi password thay đổi, phát hiện token reuse hoặc sự kiện đăng nhập đáng chú ý; việc delivery thuộc M10.</x:v>
      </x:c>
      <x:c r="H31" s="49" t="str">
        <x:v>H06-03 + V3.3</x:v>
      </x:c>
      <x:c r="I31" s="49" t="str">
        <x:v>Hùng</x:v>
      </x:c>
    </x:row>
    <x:row r="32" ht="36" customHeight="1">
      <x:c r="A32" s="49" t="str">
        <x:v>M01-F031</x:v>
      </x:c>
      <x:c r="B32" s="49" t="str">
        <x:v>M01</x:v>
      </x:c>
      <x:c r="C32" s="49" t="str">
        <x:v>H-WP06</x:v>
      </x:c>
      <x:c r="D32" s="49" t="str">
        <x:v>Hùng</x:v>
      </x:c>
      <x:c r="E32" s="49" t="str">
        <x:v>P2</x:v>
      </x:c>
      <x:c r="F32" s="49" t="str">
        <x:v>KEEP</x:v>
      </x:c>
      <x:c r="G32" s="49" t="str">
        <x:v>Mã khôi phục dự phòng khi mất thiết bị 2FA</x:v>
      </x:c>
      <x:c r="H32" s="49" t="str">
        <x:v>H06-04</x:v>
      </x:c>
      <x:c r="I32" s="49" t="str">
        <x:v>Hùng</x:v>
      </x:c>
    </x:row>
    <x:row r="33" ht="36" customHeight="1">
      <x:c r="A33" s="49" t="str">
        <x:v>M01-F032</x:v>
      </x:c>
      <x:c r="B33" s="49" t="str">
        <x:v>M01</x:v>
      </x:c>
      <x:c r="C33" s="49" t="str">
        <x:v>H-WP06</x:v>
      </x:c>
      <x:c r="D33" s="49" t="str">
        <x:v>Hùng</x:v>
      </x:c>
      <x:c r="E33" s="49" t="str">
        <x:v>P2</x:v>
      </x:c>
      <x:c r="F33" s="49" t="str">
        <x:v>KEEP</x:v>
      </x:c>
      <x:c r="G33" s="49" t="str">
        <x:v>Đăng nhập sinh trắc học trên mobile (Face ID / vân tay)</x:v>
      </x:c>
      <x:c r="H33" s="49" t="str">
        <x:v>H06-05</x:v>
      </x:c>
      <x:c r="I33" s="49" t="str">
        <x:v>Hùng</x:v>
      </x:c>
    </x:row>
    <x:row r="34" ht="36" customHeight="1">
      <x:c r="A34" s="49" t="str">
        <x:v>M01-F033</x:v>
      </x:c>
      <x:c r="B34" s="49" t="str">
        <x:v>M01</x:v>
      </x:c>
      <x:c r="C34" s="49" t="str">
        <x:v>H-WP06</x:v>
      </x:c>
      <x:c r="D34" s="49" t="str">
        <x:v>Hùng</x:v>
      </x:c>
      <x:c r="E34" s="49" t="str">
        <x:v>P2</x:v>
      </x:c>
      <x:c r="F34" s="49" t="str">
        <x:v>KEEP</x:v>
      </x:c>
      <x:c r="G34" s="49" t="str">
        <x:v>Kiểm tra mật khẩu có nằm trong danh sách rò rỉ đã biết (k-anonymity)</x:v>
      </x:c>
      <x:c r="H34" s="49" t="str">
        <x:v>H06-06</x:v>
      </x:c>
      <x:c r="I34" s="49" t="str">
        <x:v>Hùng</x:v>
      </x:c>
    </x:row>
    <x:row r="35" ht="36" customHeight="1">
      <x:c r="A35" s="49" t="str">
        <x:v>M01-F034</x:v>
      </x:c>
      <x:c r="B35" s="49" t="str">
        <x:v>M01</x:v>
      </x:c>
      <x:c r="C35" s="49" t="str">
        <x:v>H-WP07</x:v>
      </x:c>
      <x:c r="D35" s="49" t="str">
        <x:v>Hùng</x:v>
      </x:c>
      <x:c r="E35" s="49" t="str">
        <x:v>P0</x:v>
      </x:c>
      <x:c r="F35" s="49" t="str">
        <x:v>KEEP</x:v>
      </x:c>
      <x:c r="G35" s="49" t="str">
        <x:v>Rate limit đăng nhập: 5 lần sai / IP / 15 phút, sau đó khoá 15 phút</x:v>
      </x:c>
      <x:c r="H35" s="49" t="str">
        <x:v>H07-01</x:v>
      </x:c>
      <x:c r="I35" s="49" t="str">
        <x:v>Hùng</x:v>
      </x:c>
    </x:row>
    <x:row r="36" ht="36" customHeight="1">
      <x:c r="A36" s="49" t="str">
        <x:v>M01-F035</x:v>
      </x:c>
      <x:c r="B36" s="49" t="str">
        <x:v>M01</x:v>
      </x:c>
      <x:c r="C36" s="49" t="str">
        <x:v>H-WP07</x:v>
      </x:c>
      <x:c r="D36" s="49" t="str">
        <x:v>Hùng</x:v>
      </x:c>
      <x:c r="E36" s="49" t="str">
        <x:v>P0</x:v>
      </x:c>
      <x:c r="F36" s="49" t="str">
        <x:v>KEEP</x:v>
      </x:c>
      <x:c r="G36" s="49" t="str">
        <x:v>Rate limit đăng ký: 5 request / phút / IP</x:v>
      </x:c>
      <x:c r="H36" s="49" t="str">
        <x:v>H07-02</x:v>
      </x:c>
      <x:c r="I36" s="49" t="str">
        <x:v>Hùng</x:v>
      </x:c>
    </x:row>
    <x:row r="37" ht="36" customHeight="1">
      <x:c r="A37" s="49" t="str">
        <x:v>M01-F036</x:v>
      </x:c>
      <x:c r="B37" s="49" t="str">
        <x:v>M01</x:v>
      </x:c>
      <x:c r="C37" s="49" t="str">
        <x:v>H-WP07</x:v>
      </x:c>
      <x:c r="D37" s="49" t="str">
        <x:v>Hùng</x:v>
      </x:c>
      <x:c r="E37" s="49" t="str">
        <x:v>P0</x:v>
      </x:c>
      <x:c r="F37" s="49" t="str">
        <x:v>MODIFY</x:v>
      </x:c>
      <x:c r="G37" s="49" t="str">
        <x:v>Business quota theo `AccessContext`: guest quota thấp hơn authenticated user; Nginx chỉ làm coarse IP/flood limiting.</x:v>
      </x:c>
      <x:c r="H37" s="49" t="str">
        <x:v>H07-03 + V3.3</x:v>
      </x:c>
      <x:c r="I37" s="49" t="str">
        <x:v>Hùng</x:v>
      </x:c>
    </x:row>
    <x:row r="38" ht="36" customHeight="1">
      <x:c r="A38" s="49" t="str">
        <x:v>M01-F037</x:v>
      </x:c>
      <x:c r="B38" s="49" t="str">
        <x:v>M01</x:v>
      </x:c>
      <x:c r="C38" s="49" t="str">
        <x:v>H-WP07</x:v>
      </x:c>
      <x:c r="D38" s="49" t="str">
        <x:v>Hùng</x:v>
      </x:c>
      <x:c r="E38" s="49" t="str">
        <x:v>P2</x:v>
      </x:c>
      <x:c r="F38" s="49" t="str">
        <x:v>KEEP</x:v>
      </x:c>
      <x:c r="G38" s="49" t="str">
        <x:v>CAPTCHA khi vượt ngưỡng nghi ngờ</x:v>
      </x:c>
      <x:c r="H38" s="49" t="str">
        <x:v>H07-07</x:v>
      </x:c>
      <x:c r="I38" s="49" t="str">
        <x:v>Hùng</x:v>
      </x:c>
    </x:row>
    <x:row r="39" ht="36" customHeight="1">
      <x:c r="A39" s="49" t="str">
        <x:v>M01-F038</x:v>
      </x:c>
      <x:c r="B39" s="49" t="str">
        <x:v>M01</x:v>
      </x:c>
      <x:c r="C39" s="49" t="str">
        <x:v>H-WP04</x:v>
      </x:c>
      <x:c r="D39" s="49" t="str">
        <x:v>Hùng</x:v>
      </x:c>
      <x:c r="E39" s="49" t="str">
        <x:v>P1</x:v>
      </x:c>
      <x:c r="F39" s="49" t="str">
        <x:v>KEEP</x:v>
      </x:c>
      <x:c r="G39" s="49" t="str">
        <x:v>Xuất toàn bộ dữ liệu cá nhân theo yêu cầu (data portability)</x:v>
      </x:c>
      <x:c r="H39" s="49" t="str">
        <x:v>H08-05</x:v>
      </x:c>
      <x:c r="I39" s="49" t="str">
        <x:v>Hùng</x:v>
      </x:c>
    </x:row>
    <x:row r="40" ht="36" customHeight="1">
      <x:c r="A40" s="49" t="str">
        <x:v>M01-F039</x:v>
      </x:c>
      <x:c r="B40" s="49" t="str">
        <x:v>M01</x:v>
      </x:c>
      <x:c r="C40" s="49" t="str">
        <x:v>H-WP04</x:v>
      </x:c>
      <x:c r="D40" s="49" t="str">
        <x:v>Hùng</x:v>
      </x:c>
      <x:c r="E40" s="49" t="str">
        <x:v>P1</x:v>
      </x:c>
      <x:c r="F40" s="49" t="str">
        <x:v>KEEP</x:v>
      </x:c>
      <x:c r="G40" s="49" t="str">
        <x:v>Xoá tài khoản kèm xoá/ẩn danh toàn bộ dữ liệu liên quan</x:v>
      </x:c>
      <x:c r="H40" s="49" t="str">
        <x:v>H08-06</x:v>
      </x:c>
      <x:c r="I40" s="49" t="str">
        <x:v>Hùng</x:v>
      </x:c>
    </x:row>
    <x:row r="41" ht="36" customHeight="1">
      <x:c r="A41" s="49" t="str">
        <x:v>M01-F040</x:v>
      </x:c>
      <x:c r="B41" s="49" t="str">
        <x:v>M01</x:v>
      </x:c>
      <x:c r="C41" s="49" t="str">
        <x:v>H-WP04</x:v>
      </x:c>
      <x:c r="D41" s="49" t="str">
        <x:v>Hùng</x:v>
      </x:c>
      <x:c r="E41" s="49" t="str">
        <x:v>P2</x:v>
      </x:c>
      <x:c r="F41" s="49" t="str">
        <x:v>KEEP</x:v>
      </x:c>
      <x:c r="G41" s="49" t="str">
        <x:v>Trang chính sách quyền riêng tư kèm nhật ký thay đổi</x:v>
      </x:c>
      <x:c r="H41" s="49" t="str">
        <x:v>H08-07</x:v>
      </x:c>
      <x:c r="I41" s="49" t="str">
        <x:v>Hùng</x:v>
      </x:c>
    </x:row>
    <x:row r="42" ht="36" customHeight="1">
      <x:c r="A42" s="49" t="str">
        <x:v>M01-F041</x:v>
      </x:c>
      <x:c r="B42" s="49" t="str">
        <x:v>M01</x:v>
      </x:c>
      <x:c r="C42" s="49" t="str">
        <x:v>H-WP03</x:v>
      </x:c>
      <x:c r="D42" s="49" t="str">
        <x:v>Hùng</x:v>
      </x:c>
      <x:c r="E42" s="49" t="str">
        <x:v>P0</x:v>
      </x:c>
      <x:c r="F42" s="49" t="str">
        <x:v>MODIFY</x:v>
      </x:c>
      <x:c r="G42" s="49" t="str">
        <x:v>Token storage client: Web giữ access token ưu tiên trong memory và refresh credential qua `HttpOnly + Secure + SameSite` cookie; Mobile giữ refresh credential trong Keychain/Keystore/secure storage, không dùng localStorage/AsyncStorage thường.</x:v>
      </x:c>
      <x:c r="H42" s="49" t="str">
        <x:v>T11-01 + V3.3</x:v>
      </x:c>
      <x:c r="I42" s="49" t="str">
        <x:v>Thắng</x:v>
      </x:c>
    </x:row>
    <x:row r="43" ht="36" customHeight="1">
      <x:c r="A43" s="49" t="str">
        <x:v>M02-F001</x:v>
      </x:c>
      <x:c r="B43" s="49" t="str">
        <x:v>M02</x:v>
      </x:c>
      <x:c r="C43" s="49" t="str">
        <x:v>K-WP01</x:v>
      </x:c>
      <x:c r="D43" s="49" t="str">
        <x:v>Khải</x:v>
      </x:c>
      <x:c r="E43" s="49" t="str">
        <x:v>P0</x:v>
      </x:c>
      <x:c r="F43" s="49" t="str">
        <x:v>MODIFY</x:v>
      </x:c>
      <x:c r="G43" s="49" t="str">
        <x:v>`POST /v1/scans/url`: cache hit có thể trả cached `RiskResult`; cache miss tạo `ScanRequest`, publish `scan.url.requested` và trả `202 + scanId`.</x:v>
      </x:c>
      <x:c r="H43" s="49" t="str">
        <x:v>K01-01</x:v>
      </x:c>
      <x:c r="I43" s="49" t="str">
        <x:v>Khải</x:v>
      </x:c>
    </x:row>
    <x:row r="44" ht="36" customHeight="1">
      <x:c r="A44" s="49" t="str">
        <x:v>M02-F002</x:v>
      </x:c>
      <x:c r="B44" s="49" t="str">
        <x:v>M02</x:v>
      </x:c>
      <x:c r="C44" s="49" t="str">
        <x:v>K-WP01</x:v>
      </x:c>
      <x:c r="D44" s="49" t="str">
        <x:v>Khải</x:v>
      </x:c>
      <x:c r="E44" s="49" t="str">
        <x:v>P0</x:v>
      </x:c>
      <x:c r="F44" s="49" t="str">
        <x:v>KEEP</x:v>
      </x:c>
      <x:c r="G44" s="49" t="str">
        <x:v>Chuẩn hoá URL: thêm scheme, hạ chữ thường host, bỏ port mặc định, sắp xếp query</x:v>
      </x:c>
      <x:c r="H44" s="49" t="str">
        <x:v>K01-02</x:v>
      </x:c>
      <x:c r="I44" s="49" t="str">
        <x:v>Khải</x:v>
      </x:c>
    </x:row>
    <x:row r="45" ht="36" customHeight="1">
      <x:c r="A45" s="49" t="str">
        <x:v>M02-F003</x:v>
      </x:c>
      <x:c r="B45" s="49" t="str">
        <x:v>M02</x:v>
      </x:c>
      <x:c r="C45" s="49" t="str">
        <x:v>K-WP01</x:v>
      </x:c>
      <x:c r="D45" s="49" t="str">
        <x:v>Khải</x:v>
      </x:c>
      <x:c r="E45" s="49" t="str">
        <x:v>P0</x:v>
      </x:c>
      <x:c r="F45" s="49" t="str">
        <x:v>KEEP</x:v>
      </x:c>
      <x:c r="G45" s="49" t="str">
        <x:v>Tách thành phần: scheme, subdomain, domain, TLD, path, query, fragment</x:v>
      </x:c>
      <x:c r="H45" s="49" t="str">
        <x:v>K01-03</x:v>
      </x:c>
      <x:c r="I45" s="49" t="str">
        <x:v>Khải</x:v>
      </x:c>
    </x:row>
    <x:row r="46" ht="36" customHeight="1">
      <x:c r="A46" s="49" t="str">
        <x:v>M02-F004</x:v>
      </x:c>
      <x:c r="B46" s="49" t="str">
        <x:v>M02</x:v>
      </x:c>
      <x:c r="C46" s="49" t="str">
        <x:v>K-WP01</x:v>
      </x:c>
      <x:c r="D46" s="49" t="str">
        <x:v>Khải</x:v>
      </x:c>
      <x:c r="E46" s="49" t="str">
        <x:v>P0</x:v>
      </x:c>
      <x:c r="F46" s="49" t="str">
        <x:v>MODIFY</x:v>
      </x:c>
      <x:c r="G46" s="49" t="str">
        <x:v>Cache kết quả URL theo normalized-input hash qua shared result cache; TTL mặc định 10 phút và cấu hình được, PostgreSQL vẫn là source of truth.</x:v>
      </x:c>
      <x:c r="H46" s="49" t="str">
        <x:v>K01-04 + MODSPEC-V1.3</x:v>
      </x:c>
      <x:c r="I46" s="49" t="str">
        <x:v>Khải</x:v>
      </x:c>
    </x:row>
    <x:row r="47" ht="36" customHeight="1">
      <x:c r="A47" s="49" t="str">
        <x:v>M02-F005</x:v>
      </x:c>
      <x:c r="B47" s="49" t="str">
        <x:v>M02</x:v>
      </x:c>
      <x:c r="C47" s="49" t="str">
        <x:v>K-WP01</x:v>
      </x:c>
      <x:c r="D47" s="49" t="str">
        <x:v>Khải</x:v>
      </x:c>
      <x:c r="E47" s="49" t="str">
        <x:v>P0</x:v>
      </x:c>
      <x:c r="F47" s="49" t="str">
        <x:v>KEEP</x:v>
      </x:c>
      <x:c r="G47" s="49" t="str">
        <x:v>Phát hiện dấu hiệu cơ bản: dùng IP thay tên miền, URL quá dài, ký tự bất thường, `@` trong host</x:v>
      </x:c>
      <x:c r="H47" s="49" t="str">
        <x:v>K01-05</x:v>
      </x:c>
      <x:c r="I47" s="49" t="str">
        <x:v>Khải</x:v>
      </x:c>
    </x:row>
    <x:row r="48" ht="36" customHeight="1">
      <x:c r="A48" s="49" t="str">
        <x:v>M02-F006</x:v>
      </x:c>
      <x:c r="B48" s="49" t="str">
        <x:v>M02</x:v>
      </x:c>
      <x:c r="C48" s="49" t="str">
        <x:v>K-WP01</x:v>
      </x:c>
      <x:c r="D48" s="49" t="str">
        <x:v>Khải</x:v>
      </x:c>
      <x:c r="E48" s="49" t="str">
        <x:v>P1</x:v>
      </x:c>
      <x:c r="F48" s="49" t="str">
        <x:v>KEEP</x:v>
      </x:c>
      <x:c r="G48" s="49" t="str">
        <x:v>Nhận diện dịch vụ rút gọn link và mở rộng về địa chỉ thật</x:v>
      </x:c>
      <x:c r="H48" s="49" t="str">
        <x:v>K01-06</x:v>
      </x:c>
      <x:c r="I48" s="49" t="str">
        <x:v>Khải</x:v>
      </x:c>
    </x:row>
    <x:row r="49" ht="36" customHeight="1">
      <x:c r="A49" s="49" t="str">
        <x:v>M02-F007</x:v>
      </x:c>
      <x:c r="B49" s="49" t="str">
        <x:v>M02</x:v>
      </x:c>
      <x:c r="C49" s="49" t="str">
        <x:v>K-WP01</x:v>
      </x:c>
      <x:c r="D49" s="49" t="str">
        <x:v>Khải</x:v>
      </x:c>
      <x:c r="E49" s="49" t="str">
        <x:v>P1</x:v>
      </x:c>
      <x:c r="F49" s="49" t="str">
        <x:v>KEEP</x:v>
      </x:c>
      <x:c r="G49" s="49" t="str">
        <x:v>Trang kết quả chi tiết URL trên web, hiển thị từng bằng chứng</x:v>
      </x:c>
      <x:c r="H49" s="49" t="str">
        <x:v>K01-07</x:v>
      </x:c>
      <x:c r="I49" s="49" t="str">
        <x:v>Khải</x:v>
      </x:c>
    </x:row>
    <x:row r="50" ht="36" customHeight="1">
      <x:c r="A50" s="49" t="str">
        <x:v>M02-F008</x:v>
      </x:c>
      <x:c r="B50" s="49" t="str">
        <x:v>M02</x:v>
      </x:c>
      <x:c r="C50" s="49" t="str">
        <x:v>K-WP01</x:v>
      </x:c>
      <x:c r="D50" s="49" t="str">
        <x:v>Khải</x:v>
      </x:c>
      <x:c r="E50" s="49" t="str">
        <x:v>P2</x:v>
      </x:c>
      <x:c r="F50" s="49" t="str">
        <x:v>KEEP</x:v>
      </x:c>
      <x:c r="G50" s="49" t="str">
        <x:v>Quét hàng loạt nhiều URL cùng lúc</x:v>
      </x:c>
      <x:c r="H50" s="49" t="str">
        <x:v>K01-08</x:v>
      </x:c>
      <x:c r="I50" s="49" t="str">
        <x:v>Khải</x:v>
      </x:c>
    </x:row>
    <x:row r="51" ht="36" customHeight="1">
      <x:c r="A51" s="49" t="str">
        <x:v>M02-F009</x:v>
      </x:c>
      <x:c r="B51" s="49" t="str">
        <x:v>M02</x:v>
      </x:c>
      <x:c r="C51" s="49" t="str">
        <x:v>K-WP02</x:v>
      </x:c>
      <x:c r="D51" s="49" t="str">
        <x:v>Khải</x:v>
      </x:c>
      <x:c r="E51" s="49" t="str">
        <x:v>P0</x:v>
      </x:c>
      <x:c r="F51" s="49" t="str">
        <x:v>KEEP</x:v>
      </x:c>
      <x:c r="G51" s="49" t="str">
        <x:v>Chặn dải IP nội bộ: `127.0.0.0/8`, `10/8`, `172.16/12`, `192.168/16`, `169.254/16`, `::1`, `fc00::/7`</x:v>
      </x:c>
      <x:c r="H51" s="49" t="str">
        <x:v>K02-01</x:v>
      </x:c>
      <x:c r="I51" s="49" t="str">
        <x:v>Khải</x:v>
      </x:c>
    </x:row>
    <x:row r="52" ht="36" customHeight="1">
      <x:c r="A52" s="49" t="str">
        <x:v>M02-F010</x:v>
      </x:c>
      <x:c r="B52" s="49" t="str">
        <x:v>M02</x:v>
      </x:c>
      <x:c r="C52" s="49" t="str">
        <x:v>K-WP02</x:v>
      </x:c>
      <x:c r="D52" s="49" t="str">
        <x:v>Khải</x:v>
      </x:c>
      <x:c r="E52" s="49" t="str">
        <x:v>P0</x:v>
      </x:c>
      <x:c r="F52" s="49" t="str">
        <x:v>KEEP</x:v>
      </x:c>
      <x:c r="G52" s="49" t="str">
        <x:v>Phân giải DNS trước, kiểm tra IP đích, rồi mới kết nối (chống DNS rebinding)</x:v>
      </x:c>
      <x:c r="H52" s="49" t="str">
        <x:v>K02-02</x:v>
      </x:c>
      <x:c r="I52" s="49" t="str">
        <x:v>Khải</x:v>
      </x:c>
    </x:row>
    <x:row r="53" ht="36" customHeight="1">
      <x:c r="A53" s="49" t="str">
        <x:v>M02-F011</x:v>
      </x:c>
      <x:c r="B53" s="49" t="str">
        <x:v>M02</x:v>
      </x:c>
      <x:c r="C53" s="49" t="str">
        <x:v>K-WP02</x:v>
      </x:c>
      <x:c r="D53" s="49" t="str">
        <x:v>Khải</x:v>
      </x:c>
      <x:c r="E53" s="49" t="str">
        <x:v>P0</x:v>
      </x:c>
      <x:c r="F53" s="49" t="str">
        <x:v>KEEP</x:v>
      </x:c>
      <x:c r="G53" s="49" t="str">
        <x:v>Chỉ cho phép scheme `http` và `https`</x:v>
      </x:c>
      <x:c r="H53" s="49" t="str">
        <x:v>K02-03</x:v>
      </x:c>
      <x:c r="I53" s="49" t="str">
        <x:v>Khải</x:v>
      </x:c>
    </x:row>
    <x:row r="54" ht="36" customHeight="1">
      <x:c r="A54" s="49" t="str">
        <x:v>M02-F012</x:v>
      </x:c>
      <x:c r="B54" s="49" t="str">
        <x:v>M02</x:v>
      </x:c>
      <x:c r="C54" s="49" t="str">
        <x:v>K-WP02</x:v>
      </x:c>
      <x:c r="D54" s="49" t="str">
        <x:v>Khải</x:v>
      </x:c>
      <x:c r="E54" s="49" t="str">
        <x:v>P0</x:v>
      </x:c>
      <x:c r="F54" s="49" t="str">
        <x:v>KEEP</x:v>
      </x:c>
      <x:c r="G54" s="49" t="str">
        <x:v>Giới hạn kích thước phản hồi và thời gian chờ, huỷ khi vượt ngưỡng</x:v>
      </x:c>
      <x:c r="H54" s="49" t="str">
        <x:v>K02-04</x:v>
      </x:c>
      <x:c r="I54" s="49" t="str">
        <x:v>Khải</x:v>
      </x:c>
    </x:row>
    <x:row r="55" ht="36" customHeight="1">
      <x:c r="A55" s="49" t="str">
        <x:v>M02-F013</x:v>
      </x:c>
      <x:c r="B55" s="49" t="str">
        <x:v>M02</x:v>
      </x:c>
      <x:c r="C55" s="49" t="str">
        <x:v>K-WP02</x:v>
      </x:c>
      <x:c r="D55" s="49" t="str">
        <x:v>Khải</x:v>
      </x:c>
      <x:c r="E55" s="49" t="str">
        <x:v>P0</x:v>
      </x:c>
      <x:c r="F55" s="49" t="str">
        <x:v>KEEP</x:v>
      </x:c>
      <x:c r="G55" s="49" t="str">
        <x:v>Kiểm tra lại IP đích ở **mỗi** bước chuyển hướng, không chỉ URL đầu tiên</x:v>
      </x:c>
      <x:c r="H55" s="49" t="str">
        <x:v>K02-05</x:v>
      </x:c>
      <x:c r="I55" s="49" t="str">
        <x:v>Khải</x:v>
      </x:c>
    </x:row>
    <x:row r="56" ht="36" customHeight="1">
      <x:c r="A56" s="49" t="str">
        <x:v>M02-F014</x:v>
      </x:c>
      <x:c r="B56" s="49" t="str">
        <x:v>M02</x:v>
      </x:c>
      <x:c r="C56" s="49" t="str">
        <x:v>K-WP02</x:v>
      </x:c>
      <x:c r="D56" s="49" t="str">
        <x:v>Khải</x:v>
      </x:c>
      <x:c r="E56" s="49" t="str">
        <x:v>P1</x:v>
      </x:c>
      <x:c r="F56" s="49" t="str">
        <x:v>KEEP</x:v>
      </x:c>
      <x:c r="G56" s="49" t="str">
        <x:v>Chạy fetch bằng user riêng, không có quyền truy cập DB</x:v>
      </x:c>
      <x:c r="H56" s="49" t="str">
        <x:v>K02-06</x:v>
      </x:c>
      <x:c r="I56" s="49" t="str">
        <x:v>Khải</x:v>
      </x:c>
    </x:row>
    <x:row r="57" ht="36" customHeight="1">
      <x:c r="A57" s="49" t="str">
        <x:v>M02-F015</x:v>
      </x:c>
      <x:c r="B57" s="49" t="str">
        <x:v>M02</x:v>
      </x:c>
      <x:c r="C57" s="49" t="str">
        <x:v>K-WP02</x:v>
      </x:c>
      <x:c r="D57" s="49" t="str">
        <x:v>Khải</x:v>
      </x:c>
      <x:c r="E57" s="49" t="str">
        <x:v>P1</x:v>
      </x:c>
      <x:c r="F57" s="49" t="str">
        <x:v>KEEP</x:v>
      </x:c>
      <x:c r="G57" s="49" t="str">
        <x:v>Bộ test tấn công: `169.254.169.254`, `localhost`, redirect về IP nội bộ, DNS rebinding</x:v>
      </x:c>
      <x:c r="H57" s="49" t="str">
        <x:v>K02-07</x:v>
      </x:c>
      <x:c r="I57" s="49" t="str">
        <x:v>Khải</x:v>
      </x:c>
    </x:row>
    <x:row r="58" ht="36" customHeight="1">
      <x:c r="A58" s="49" t="str">
        <x:v>M02-F016</x:v>
      </x:c>
      <x:c r="B58" s="49" t="str">
        <x:v>M02</x:v>
      </x:c>
      <x:c r="C58" s="49" t="str">
        <x:v>K-WP02</x:v>
      </x:c>
      <x:c r="D58" s="49" t="str">
        <x:v>Khải</x:v>
      </x:c>
      <x:c r="E58" s="49" t="str">
        <x:v>P2</x:v>
      </x:c>
      <x:c r="F58" s="49" t="str">
        <x:v>KEEP</x:v>
      </x:c>
      <x:c r="G58" s="49" t="str">
        <x:v>Tách tầng fetch ra container riêng có network policy giới hạn</x:v>
      </x:c>
      <x:c r="H58" s="49" t="str">
        <x:v>K02-08</x:v>
      </x:c>
      <x:c r="I58" s="49" t="str">
        <x:v>Khải</x:v>
      </x:c>
    </x:row>
    <x:row r="59" ht="36" customHeight="1">
      <x:c r="A59" s="49" t="str">
        <x:v>M02-F017</x:v>
      </x:c>
      <x:c r="B59" s="49" t="str">
        <x:v>M02</x:v>
      </x:c>
      <x:c r="C59" s="49" t="str">
        <x:v>K-WP03</x:v>
      </x:c>
      <x:c r="D59" s="49" t="str">
        <x:v>Khải</x:v>
      </x:c>
      <x:c r="E59" s="49" t="str">
        <x:v>P0</x:v>
      </x:c>
      <x:c r="F59" s="49" t="str">
        <x:v>KEEP</x:v>
      </x:c>
      <x:c r="G59" s="49" t="str">
        <x:v>Theo redirect tối đa N bước (mặc định 5), ghi lại toàn bộ chuỗi</x:v>
      </x:c>
      <x:c r="H59" s="49" t="str">
        <x:v>K03-01</x:v>
      </x:c>
      <x:c r="I59" s="49" t="str">
        <x:v>Khải</x:v>
      </x:c>
    </x:row>
    <x:row r="60" ht="36" customHeight="1">
      <x:c r="A60" s="49" t="str">
        <x:v>M02-F018</x:v>
      </x:c>
      <x:c r="B60" s="49" t="str">
        <x:v>M02</x:v>
      </x:c>
      <x:c r="C60" s="49" t="str">
        <x:v>K-WP03</x:v>
      </x:c>
      <x:c r="D60" s="49" t="str">
        <x:v>Khải</x:v>
      </x:c>
      <x:c r="E60" s="49" t="str">
        <x:v>P0</x:v>
      </x:c>
      <x:c r="F60" s="49" t="str">
        <x:v>KEEP</x:v>
      </x:c>
      <x:c r="G60" s="49" t="str">
        <x:v>Cảnh báo khi chuỗi quá dài hoặc có vòng lặp</x:v>
      </x:c>
      <x:c r="H60" s="49" t="str">
        <x:v>K03-02</x:v>
      </x:c>
      <x:c r="I60" s="49" t="str">
        <x:v>Khải</x:v>
      </x:c>
    </x:row>
    <x:row r="61" ht="36" customHeight="1">
      <x:c r="A61" s="49" t="str">
        <x:v>M02-F019</x:v>
      </x:c>
      <x:c r="B61" s="49" t="str">
        <x:v>M02</x:v>
      </x:c>
      <x:c r="C61" s="49" t="str">
        <x:v>K-WP03</x:v>
      </x:c>
      <x:c r="D61" s="49" t="str">
        <x:v>Khải</x:v>
      </x:c>
      <x:c r="E61" s="49" t="str">
        <x:v>P1</x:v>
      </x:c>
      <x:c r="F61" s="49" t="str">
        <x:v>KEEP</x:v>
      </x:c>
      <x:c r="G61" s="49" t="str">
        <x:v>Phát hiện chuyển hướng đổi tên miền gốc (cross-domain redirect)</x:v>
      </x:c>
      <x:c r="H61" s="49" t="str">
        <x:v>K03-03</x:v>
      </x:c>
      <x:c r="I61" s="49" t="str">
        <x:v>Khải</x:v>
      </x:c>
    </x:row>
    <x:row r="62" ht="36" customHeight="1">
      <x:c r="A62" s="49" t="str">
        <x:v>M02-F020</x:v>
      </x:c>
      <x:c r="B62" s="49" t="str">
        <x:v>M02</x:v>
      </x:c>
      <x:c r="C62" s="49" t="str">
        <x:v>K-WP03</x:v>
      </x:c>
      <x:c r="D62" s="49" t="str">
        <x:v>Khải</x:v>
      </x:c>
      <x:c r="E62" s="49" t="str">
        <x:v>P1</x:v>
      </x:c>
      <x:c r="F62" s="49" t="str">
        <x:v>KEEP</x:v>
      </x:c>
      <x:c r="G62" s="49" t="str">
        <x:v>Phát hiện chuyển hướng từ HTTPS xuống HTTP (downgrade)</x:v>
      </x:c>
      <x:c r="H62" s="49" t="str">
        <x:v>K03-04</x:v>
      </x:c>
      <x:c r="I62" s="49" t="str">
        <x:v>Khải</x:v>
      </x:c>
    </x:row>
    <x:row r="63" ht="36" customHeight="1">
      <x:c r="A63" s="49" t="str">
        <x:v>M02-F021</x:v>
      </x:c>
      <x:c r="B63" s="49" t="str">
        <x:v>M02</x:v>
      </x:c>
      <x:c r="C63" s="49" t="str">
        <x:v>K-WP03</x:v>
      </x:c>
      <x:c r="D63" s="49" t="str">
        <x:v>Khải</x:v>
      </x:c>
      <x:c r="E63" s="49" t="str">
        <x:v>P1</x:v>
      </x:c>
      <x:c r="F63" s="49" t="str">
        <x:v>KEEP</x:v>
      </x:c>
      <x:c r="G63" s="49" t="str">
        <x:v>Bắt cả chuyển hướng bằng JavaScript và thẻ `&lt;meta refresh&gt;`</x:v>
      </x:c>
      <x:c r="H63" s="49" t="str">
        <x:v>K03-05</x:v>
      </x:c>
      <x:c r="I63" s="49" t="str">
        <x:v>Khải</x:v>
      </x:c>
    </x:row>
    <x:row r="64" ht="36" customHeight="1">
      <x:c r="A64" s="49" t="str">
        <x:v>M02-F022</x:v>
      </x:c>
      <x:c r="B64" s="49" t="str">
        <x:v>M02</x:v>
      </x:c>
      <x:c r="C64" s="49" t="str">
        <x:v>K-WP03</x:v>
      </x:c>
      <x:c r="D64" s="49" t="str">
        <x:v>Khải</x:v>
      </x:c>
      <x:c r="E64" s="49" t="str">
        <x:v>P2</x:v>
      </x:c>
      <x:c r="F64" s="49" t="str">
        <x:v>KEEP</x:v>
      </x:c>
      <x:c r="G64" s="49" t="str">
        <x:v>Hiển thị trực quan chuỗi chuyển hướng trên giao diện</x:v>
      </x:c>
      <x:c r="H64" s="49" t="str">
        <x:v>K03-06</x:v>
      </x:c>
      <x:c r="I64" s="49" t="str">
        <x:v>Khải</x:v>
      </x:c>
    </x:row>
    <x:row r="65" ht="36" customHeight="1">
      <x:c r="A65" s="49" t="str">
        <x:v>M02-F023</x:v>
      </x:c>
      <x:c r="B65" s="49" t="str">
        <x:v>M02</x:v>
      </x:c>
      <x:c r="C65" s="49" t="str">
        <x:v>K-WP03</x:v>
      </x:c>
      <x:c r="D65" s="49" t="str">
        <x:v>Khải</x:v>
      </x:c>
      <x:c r="E65" s="49" t="str">
        <x:v>P2</x:v>
      </x:c>
      <x:c r="F65" s="49" t="str">
        <x:v>KEEP</x:v>
      </x:c>
      <x:c r="G65" s="49" t="str">
        <x:v>Phát hiện cloaking — trả nội dung khác nhau theo User-Agent</x:v>
      </x:c>
      <x:c r="H65" s="49" t="str">
        <x:v>K03-07</x:v>
      </x:c>
      <x:c r="I65" s="49" t="str">
        <x:v>Khải</x:v>
      </x:c>
    </x:row>
    <x:row r="66" ht="36" customHeight="1">
      <x:c r="A66" s="49" t="str">
        <x:v>M02-F024</x:v>
      </x:c>
      <x:c r="B66" s="49" t="str">
        <x:v>M02</x:v>
      </x:c>
      <x:c r="C66" s="49" t="str">
        <x:v>K-WP04</x:v>
      </x:c>
      <x:c r="D66" s="49" t="str">
        <x:v>Khải</x:v>
      </x:c>
      <x:c r="E66" s="49" t="str">
        <x:v>P0</x:v>
      </x:c>
      <x:c r="F66" s="49" t="str">
        <x:v>KEEP</x:v>
      </x:c>
      <x:c r="G66" s="49" t="str">
        <x:v>Kiểm tra có HTTPS hay không</x:v>
      </x:c>
      <x:c r="H66" s="49" t="str">
        <x:v>K04-01</x:v>
      </x:c>
      <x:c r="I66" s="49" t="str">
        <x:v>Khải</x:v>
      </x:c>
    </x:row>
    <x:row r="67" ht="36" customHeight="1">
      <x:c r="A67" s="49" t="str">
        <x:v>M02-F025</x:v>
      </x:c>
      <x:c r="B67" s="49" t="str">
        <x:v>M02</x:v>
      </x:c>
      <x:c r="C67" s="49" t="str">
        <x:v>K-WP04</x:v>
      </x:c>
      <x:c r="D67" s="49" t="str">
        <x:v>Khải</x:v>
      </x:c>
      <x:c r="E67" s="49" t="str">
        <x:v>P0</x:v>
      </x:c>
      <x:c r="F67" s="49" t="str">
        <x:v>KEEP</x:v>
      </x:c>
      <x:c r="G67" s="49" t="str">
        <x:v>Kiểm tra chứng chỉ còn hạn và khớp tên miền</x:v>
      </x:c>
      <x:c r="H67" s="49" t="str">
        <x:v>K04-02</x:v>
      </x:c>
      <x:c r="I67" s="49" t="str">
        <x:v>Khải</x:v>
      </x:c>
    </x:row>
    <x:row r="68" ht="36" customHeight="1">
      <x:c r="A68" s="49" t="str">
        <x:v>M02-F026</x:v>
      </x:c>
      <x:c r="B68" s="49" t="str">
        <x:v>M02</x:v>
      </x:c>
      <x:c r="C68" s="49" t="str">
        <x:v>K-WP04</x:v>
      </x:c>
      <x:c r="D68" s="49" t="str">
        <x:v>Khải</x:v>
      </x:c>
      <x:c r="E68" s="49" t="str">
        <x:v>P1</x:v>
      </x:c>
      <x:c r="F68" s="49" t="str">
        <x:v>KEEP</x:v>
      </x:c>
      <x:c r="G68" s="49" t="str">
        <x:v>Trích xuất tổ chức phát hành, ngày cấp, ngày hết hạn</x:v>
      </x:c>
      <x:c r="H68" s="49" t="str">
        <x:v>K04-03</x:v>
      </x:c>
      <x:c r="I68" s="49" t="str">
        <x:v>Khải</x:v>
      </x:c>
    </x:row>
    <x:row r="69" ht="36" customHeight="1">
      <x:c r="A69" s="49" t="str">
        <x:v>M02-F027</x:v>
      </x:c>
      <x:c r="B69" s="49" t="str">
        <x:v>M02</x:v>
      </x:c>
      <x:c r="C69" s="49" t="str">
        <x:v>K-WP04</x:v>
      </x:c>
      <x:c r="D69" s="49" t="str">
        <x:v>Khải</x:v>
      </x:c>
      <x:c r="E69" s="49" t="str">
        <x:v>P1</x:v>
      </x:c>
      <x:c r="F69" s="49" t="str">
        <x:v>KEEP</x:v>
      </x:c>
      <x:c r="G69" s="49" t="str">
        <x:v>Cảnh báo chứng chỉ tự ký hoặc mới cấp trong vài ngày</x:v>
      </x:c>
      <x:c r="H69" s="49" t="str">
        <x:v>K04-04</x:v>
      </x:c>
      <x:c r="I69" s="49" t="str">
        <x:v>Khải</x:v>
      </x:c>
    </x:row>
    <x:row r="70" ht="36" customHeight="1">
      <x:c r="A70" s="49" t="str">
        <x:v>M02-F028</x:v>
      </x:c>
      <x:c r="B70" s="49" t="str">
        <x:v>M02</x:v>
      </x:c>
      <x:c r="C70" s="49" t="str">
        <x:v>K-WP04</x:v>
      </x:c>
      <x:c r="D70" s="49" t="str">
        <x:v>Khải</x:v>
      </x:c>
      <x:c r="E70" s="49" t="str">
        <x:v>P1</x:v>
      </x:c>
      <x:c r="F70" s="49" t="str">
        <x:v>KEEP</x:v>
      </x:c>
      <x:c r="G70" s="49" t="str">
        <x:v>Kiểm tra các HTTP security header (HSTS, CSP, X-Frame-Options)</x:v>
      </x:c>
      <x:c r="H70" s="49" t="str">
        <x:v>K04-05</x:v>
      </x:c>
      <x:c r="I70" s="49" t="str">
        <x:v>Khải</x:v>
      </x:c>
    </x:row>
    <x:row r="71" ht="36" customHeight="1">
      <x:c r="A71" s="49" t="str">
        <x:v>M02-F029</x:v>
      </x:c>
      <x:c r="B71" s="49" t="str">
        <x:v>M02</x:v>
      </x:c>
      <x:c r="C71" s="49" t="str">
        <x:v>K-WP04</x:v>
      </x:c>
      <x:c r="D71" s="49" t="str">
        <x:v>Khải</x:v>
      </x:c>
      <x:c r="E71" s="49" t="str">
        <x:v>P2</x:v>
      </x:c>
      <x:c r="F71" s="49" t="str">
        <x:v>KEEP</x:v>
      </x:c>
      <x:c r="G71" s="49" t="str">
        <x:v>Tra Certificate Transparency log để tìm chứng chỉ khả nghi của thương hiệu</x:v>
      </x:c>
      <x:c r="H71" s="49" t="str">
        <x:v>K04-06</x:v>
      </x:c>
      <x:c r="I71" s="49" t="str">
        <x:v>Khải</x:v>
      </x:c>
    </x:row>
    <x:row r="72" ht="36" customHeight="1">
      <x:c r="A72" s="49" t="str">
        <x:v>M02-F030</x:v>
      </x:c>
      <x:c r="B72" s="49" t="str">
        <x:v>M02</x:v>
      </x:c>
      <x:c r="C72" s="49" t="str">
        <x:v>K-WP04</x:v>
      </x:c>
      <x:c r="D72" s="49" t="str">
        <x:v>Khải</x:v>
      </x:c>
      <x:c r="E72" s="49" t="str">
        <x:v>P2</x:v>
      </x:c>
      <x:c r="F72" s="49" t="str">
        <x:v>KEEP</x:v>
      </x:c>
      <x:c r="G72" s="49" t="str">
        <x:v>Cảnh báo bộ mã hoá TLS yếu</x:v>
      </x:c>
      <x:c r="H72" s="49" t="str">
        <x:v>K04-07</x:v>
      </x:c>
      <x:c r="I72" s="49" t="str">
        <x:v>Khải</x:v>
      </x:c>
    </x:row>
    <x:row r="73" ht="36" customHeight="1">
      <x:c r="A73" s="49" t="str">
        <x:v>M02-F031</x:v>
      </x:c>
      <x:c r="B73" s="49" t="str">
        <x:v>M02</x:v>
      </x:c>
      <x:c r="C73" s="49" t="str">
        <x:v>K-WP05</x:v>
      </x:c>
      <x:c r="D73" s="49" t="str">
        <x:v>Khải</x:v>
      </x:c>
      <x:c r="E73" s="49" t="str">
        <x:v>P0</x:v>
      </x:c>
      <x:c r="F73" s="49" t="str">
        <x:v>KEEP</x:v>
      </x:c>
      <x:c r="G73" s="49" t="str">
        <x:v>Parse HTML bằng Jsoup, trích xuất toàn bộ `&lt;form&gt;` và `&lt;input&gt;`</x:v>
      </x:c>
      <x:c r="H73" s="49" t="str">
        <x:v>K05-01</x:v>
      </x:c>
      <x:c r="I73" s="49" t="str">
        <x:v>Khải</x:v>
      </x:c>
    </x:row>
    <x:row r="74" ht="36" customHeight="1">
      <x:c r="A74" s="49" t="str">
        <x:v>M02-F032</x:v>
      </x:c>
      <x:c r="B74" s="49" t="str">
        <x:v>M02</x:v>
      </x:c>
      <x:c r="C74" s="49" t="str">
        <x:v>K-WP05</x:v>
      </x:c>
      <x:c r="D74" s="49" t="str">
        <x:v>Khải</x:v>
      </x:c>
      <x:c r="E74" s="49" t="str">
        <x:v>P0</x:v>
      </x:c>
      <x:c r="F74" s="49" t="str">
        <x:v>KEEP</x:v>
      </x:c>
      <x:c r="G74" s="49" t="str">
        <x:v>Phát hiện input nhạy cảm: password, OTP, PIN, CVV, số thẻ, CCCD, số tài khoản</x:v>
      </x:c>
      <x:c r="H74" s="49" t="str">
        <x:v>K05-02</x:v>
      </x:c>
      <x:c r="I74" s="49" t="str">
        <x:v>Khải</x:v>
      </x:c>
    </x:row>
    <x:row r="75" ht="36" customHeight="1">
      <x:c r="A75" s="49" t="str">
        <x:v>M02-F033</x:v>
      </x:c>
      <x:c r="B75" s="49" t="str">
        <x:v>M02</x:v>
      </x:c>
      <x:c r="C75" s="49" t="str">
        <x:v>K-WP05</x:v>
      </x:c>
      <x:c r="D75" s="49" t="str">
        <x:v>Khải</x:v>
      </x:c>
      <x:c r="E75" s="49" t="str">
        <x:v>P0</x:v>
      </x:c>
      <x:c r="F75" s="49" t="str">
        <x:v>KEEP</x:v>
      </x:c>
      <x:c r="G75" s="49" t="str">
        <x:v>Cảnh báo `form action` trỏ sang tên miền khác hoặc không dùng HTTPS</x:v>
      </x:c>
      <x:c r="H75" s="49" t="str">
        <x:v>K05-03</x:v>
      </x:c>
      <x:c r="I75" s="49" t="str">
        <x:v>Khải</x:v>
      </x:c>
    </x:row>
    <x:row r="76" ht="36" customHeight="1">
      <x:c r="A76" s="49" t="str">
        <x:v>M02-F034</x:v>
      </x:c>
      <x:c r="B76" s="49" t="str">
        <x:v>M02</x:v>
      </x:c>
      <x:c r="C76" s="49" t="str">
        <x:v>K-WP05</x:v>
      </x:c>
      <x:c r="D76" s="49" t="str">
        <x:v>Khải</x:v>
      </x:c>
      <x:c r="E76" s="49" t="str">
        <x:v>P1</x:v>
      </x:c>
      <x:c r="F76" s="49" t="str">
        <x:v>KEEP</x:v>
      </x:c>
      <x:c r="G76" s="49" t="str">
        <x:v>Tìm từ khoá lừa đảo trong nội dung công khai của trang</x:v>
      </x:c>
      <x:c r="H76" s="49" t="str">
        <x:v>K05-04</x:v>
      </x:c>
      <x:c r="I76" s="49" t="str">
        <x:v>Khải</x:v>
      </x:c>
    </x:row>
    <x:row r="77" ht="36" customHeight="1">
      <x:c r="A77" s="49" t="str">
        <x:v>M02-F035</x:v>
      </x:c>
      <x:c r="B77" s="49" t="str">
        <x:v>M02</x:v>
      </x:c>
      <x:c r="C77" s="49" t="str">
        <x:v>K-WP05</x:v>
      </x:c>
      <x:c r="D77" s="49" t="str">
        <x:v>Khải</x:v>
      </x:c>
      <x:c r="E77" s="49" t="str">
        <x:v>P1</x:v>
      </x:c>
      <x:c r="F77" s="49" t="str">
        <x:v>KEEP</x:v>
      </x:c>
      <x:c r="G77" s="49" t="str">
        <x:v>Phát hiện trang sao chép giao diện thương hiệu (logo, favicon, tiêu đề)</x:v>
      </x:c>
      <x:c r="H77" s="49" t="str">
        <x:v>K05-05</x:v>
      </x:c>
      <x:c r="I77" s="49" t="str">
        <x:v>Khải</x:v>
      </x:c>
    </x:row>
    <x:row r="78" ht="36" customHeight="1">
      <x:c r="A78" s="49" t="str">
        <x:v>M02-F036</x:v>
      </x:c>
      <x:c r="B78" s="49" t="str">
        <x:v>M02</x:v>
      </x:c>
      <x:c r="C78" s="49" t="str">
        <x:v>K-WP05</x:v>
      </x:c>
      <x:c r="D78" s="49" t="str">
        <x:v>Khải</x:v>
      </x:c>
      <x:c r="E78" s="49" t="str">
        <x:v>P1</x:v>
      </x:c>
      <x:c r="F78" s="49" t="str">
        <x:v>KEEP</x:v>
      </x:c>
      <x:c r="G78" s="49" t="str">
        <x:v>Phát hiện iframe ẩn và input bị che</x:v>
      </x:c>
      <x:c r="H78" s="49" t="str">
        <x:v>K05-06</x:v>
      </x:c>
      <x:c r="I78" s="49" t="str">
        <x:v>Khải</x:v>
      </x:c>
    </x:row>
    <x:row r="79" ht="36" customHeight="1">
      <x:c r="A79" s="49" t="str">
        <x:v>M02-F037</x:v>
      </x:c>
      <x:c r="B79" s="49" t="str">
        <x:v>M02</x:v>
      </x:c>
      <x:c r="C79" s="49" t="str">
        <x:v>K-WP05</x:v>
      </x:c>
      <x:c r="D79" s="49" t="str">
        <x:v>Khải</x:v>
      </x:c>
      <x:c r="E79" s="49" t="str">
        <x:v>P2</x:v>
      </x:c>
      <x:c r="F79" s="49" t="str">
        <x:v>KEEP</x:v>
      </x:c>
      <x:c r="G79" s="49" t="str">
        <x:v>So khớp mã nguồn trang với bộ kit phishing đã biết</x:v>
      </x:c>
      <x:c r="H79" s="49" t="str">
        <x:v>K05-07</x:v>
      </x:c>
      <x:c r="I79" s="49" t="str">
        <x:v>Khải</x:v>
      </x:c>
    </x:row>
    <x:row r="80" ht="36" customHeight="1">
      <x:c r="A80" s="49" t="str">
        <x:v>M02-F038</x:v>
      </x:c>
      <x:c r="B80" s="49" t="str">
        <x:v>M02</x:v>
      </x:c>
      <x:c r="C80" s="49" t="str">
        <x:v>K-WP05</x:v>
      </x:c>
      <x:c r="D80" s="49" t="str">
        <x:v>Khải</x:v>
      </x:c>
      <x:c r="E80" s="49" t="str">
        <x:v>P2</x:v>
      </x:c>
      <x:c r="F80" s="49" t="str">
        <x:v>KEEP</x:v>
      </x:c>
      <x:c r="G80" s="49" t="str">
        <x:v>Phát hiện obfuscated JavaScript</x:v>
      </x:c>
      <x:c r="H80" s="49" t="str">
        <x:v>K05-08</x:v>
      </x:c>
      <x:c r="I80" s="49" t="str">
        <x:v>Khải</x:v>
      </x:c>
    </x:row>
    <x:row r="81" ht="36" customHeight="1">
      <x:c r="A81" s="49" t="str">
        <x:v>M02-F039</x:v>
      </x:c>
      <x:c r="B81" s="49" t="str">
        <x:v>M02</x:v>
      </x:c>
      <x:c r="C81" s="49" t="str">
        <x:v>K-WP06</x:v>
      </x:c>
      <x:c r="D81" s="49" t="str">
        <x:v>Khải</x:v>
      </x:c>
      <x:c r="E81" s="49" t="str">
        <x:v>P0</x:v>
      </x:c>
      <x:c r="F81" s="49" t="str">
        <x:v>KEEP</x:v>
      </x:c>
      <x:c r="G81" s="49" t="str">
        <x:v>So khoảng cách Levenshtein giữa tên miền và danh sách thương hiệu</x:v>
      </x:c>
      <x:c r="H81" s="49" t="str">
        <x:v>K06-01</x:v>
      </x:c>
      <x:c r="I81" s="49" t="str">
        <x:v>Khải</x:v>
      </x:c>
    </x:row>
    <x:row r="82" ht="36" customHeight="1">
      <x:c r="A82" s="49" t="str">
        <x:v>M02-F040</x:v>
      </x:c>
      <x:c r="B82" s="49" t="str">
        <x:v>M02</x:v>
      </x:c>
      <x:c r="C82" s="49" t="str">
        <x:v>K-WP06</x:v>
      </x:c>
      <x:c r="D82" s="49" t="str">
        <x:v>Khải</x:v>
      </x:c>
      <x:c r="E82" s="49" t="str">
        <x:v>P0</x:v>
      </x:c>
      <x:c r="F82" s="49" t="str">
        <x:v>KEEP</x:v>
      </x:c>
      <x:c r="G82" s="49" t="str">
        <x:v>Phát hiện tên miền lộ ra thương hiệu sau khi gỡ leetspeak</x:v>
      </x:c>
      <x:c r="H82" s="49" t="str">
        <x:v>K06-02</x:v>
      </x:c>
      <x:c r="I82" s="49" t="str">
        <x:v>Khải</x:v>
      </x:c>
    </x:row>
    <x:row r="83" ht="36" customHeight="1">
      <x:c r="A83" s="49" t="str">
        <x:v>M02-F041</x:v>
      </x:c>
      <x:c r="B83" s="49" t="str">
        <x:v>M02</x:v>
      </x:c>
      <x:c r="C83" s="49" t="str">
        <x:v>K-WP06</x:v>
      </x:c>
      <x:c r="D83" s="49" t="str">
        <x:v>Khải</x:v>
      </x:c>
      <x:c r="E83" s="49" t="str">
        <x:v>P1</x:v>
      </x:c>
      <x:c r="F83" s="49" t="str">
        <x:v>KEEP</x:v>
      </x:c>
      <x:c r="G83" s="49" t="str">
        <x:v>Phát hiện ký tự đồng hình Unicode (homoglyph, tên miền IDN)</x:v>
      </x:c>
      <x:c r="H83" s="49" t="str">
        <x:v>K06-03</x:v>
      </x:c>
      <x:c r="I83" s="49" t="str">
        <x:v>Khải</x:v>
      </x:c>
    </x:row>
    <x:row r="84" ht="36" customHeight="1">
      <x:c r="A84" s="49" t="str">
        <x:v>M02-F042</x:v>
      </x:c>
      <x:c r="B84" s="49" t="str">
        <x:v>M02</x:v>
      </x:c>
      <x:c r="C84" s="49" t="str">
        <x:v>K-WP06</x:v>
      </x:c>
      <x:c r="D84" s="49" t="str">
        <x:v>Khải</x:v>
      </x:c>
      <x:c r="E84" s="49" t="str">
        <x:v>P1</x:v>
      </x:c>
      <x:c r="F84" s="49" t="str">
        <x:v>KEEP</x:v>
      </x:c>
      <x:c r="G84" s="49" t="str">
        <x:v>Phát hiện thương hiệu nằm ở subdomain (`vietcombank.kẻ-gian.com`)</x:v>
      </x:c>
      <x:c r="H84" s="49" t="str">
        <x:v>K06-04</x:v>
      </x:c>
      <x:c r="I84" s="49" t="str">
        <x:v>Khải</x:v>
      </x:c>
    </x:row>
    <x:row r="85" ht="36" customHeight="1">
      <x:c r="A85" s="49" t="str">
        <x:v>M02-F043</x:v>
      </x:c>
      <x:c r="B85" s="49" t="str">
        <x:v>M02</x:v>
      </x:c>
      <x:c r="C85" s="49" t="str">
        <x:v>K-WP06</x:v>
      </x:c>
      <x:c r="D85" s="49" t="str">
        <x:v>Khải</x:v>
      </x:c>
      <x:c r="E85" s="49" t="str">
        <x:v>P1</x:v>
      </x:c>
      <x:c r="F85" s="49" t="str">
        <x:v>KEEP</x:v>
      </x:c>
      <x:c r="G85" s="49" t="str">
        <x:v>Phát hiện thêm/bớt dấu gạch nối, đảo ký tự, thêm từ (`-verify`, `-secure`)</x:v>
      </x:c>
      <x:c r="H85" s="49" t="str">
        <x:v>K06-05</x:v>
      </x:c>
      <x:c r="I85" s="49" t="str">
        <x:v>Khải</x:v>
      </x:c>
    </x:row>
    <x:row r="86" ht="36" customHeight="1">
      <x:c r="A86" s="49" t="str">
        <x:v>M02-F044</x:v>
      </x:c>
      <x:c r="B86" s="49" t="str">
        <x:v>M02</x:v>
      </x:c>
      <x:c r="C86" s="49" t="str">
        <x:v>K-WP06</x:v>
      </x:c>
      <x:c r="D86" s="49" t="str">
        <x:v>Khải</x:v>
      </x:c>
      <x:c r="E86" s="49" t="str">
        <x:v>P2</x:v>
      </x:c>
      <x:c r="F86" s="49" t="str">
        <x:v>KEEP</x:v>
      </x:c>
      <x:c r="G86" s="49" t="str">
        <x:v>Quản lý danh sách thương hiệu qua trang admin</x:v>
      </x:c>
      <x:c r="H86" s="49" t="str">
        <x:v>K06-06</x:v>
      </x:c>
      <x:c r="I86" s="49" t="str">
        <x:v>Khải</x:v>
      </x:c>
    </x:row>
    <x:row r="87" ht="36" customHeight="1">
      <x:c r="A87" s="49" t="str">
        <x:v>M02-F045</x:v>
      </x:c>
      <x:c r="B87" s="49" t="str">
        <x:v>M02</x:v>
      </x:c>
      <x:c r="C87" s="49" t="str">
        <x:v>K-WP06</x:v>
      </x:c>
      <x:c r="D87" s="49" t="str">
        <x:v>Khải</x:v>
      </x:c>
      <x:c r="E87" s="49" t="str">
        <x:v>P2</x:v>
      </x:c>
      <x:c r="F87" s="49" t="str">
        <x:v>KEEP</x:v>
      </x:c>
      <x:c r="G87" s="49" t="str">
        <x:v>Tra tuổi tên miền qua WHOIS, cảnh báo tên miền mới đăng ký</x:v>
      </x:c>
      <x:c r="H87" s="49" t="str">
        <x:v>K06-07</x:v>
      </x:c>
      <x:c r="I87" s="49" t="str">
        <x:v>Khải</x:v>
      </x:c>
    </x:row>
    <x:row r="88" ht="36" customHeight="1">
      <x:c r="A88" s="49" t="str">
        <x:v>M02-F046</x:v>
      </x:c>
      <x:c r="B88" s="49" t="str">
        <x:v>M02</x:v>
      </x:c>
      <x:c r="C88" s="49" t="str">
        <x:v>K-WP07</x:v>
      </x:c>
      <x:c r="D88" s="49" t="str">
        <x:v>Khải</x:v>
      </x:c>
      <x:c r="E88" s="49" t="str">
        <x:v>P1</x:v>
      </x:c>
      <x:c r="F88" s="49" t="str">
        <x:v>KEEP</x:v>
      </x:c>
      <x:c r="G88" s="49" t="str">
        <x:v>Lưu HTML thô của trang tại thời điểm quét làm bằng chứng</x:v>
      </x:c>
      <x:c r="H88" s="49" t="str">
        <x:v>K09-01</x:v>
      </x:c>
      <x:c r="I88" s="49" t="str">
        <x:v>Khải</x:v>
      </x:c>
    </x:row>
    <x:row r="89" ht="36" customHeight="1">
      <x:c r="A89" s="49" t="str">
        <x:v>M02-F047</x:v>
      </x:c>
      <x:c r="B89" s="49" t="str">
        <x:v>M02</x:v>
      </x:c>
      <x:c r="C89" s="49" t="str">
        <x:v>K-WP07</x:v>
      </x:c>
      <x:c r="D89" s="49" t="str">
        <x:v>Khải</x:v>
      </x:c>
      <x:c r="E89" s="49" t="str">
        <x:v>P1</x:v>
      </x:c>
      <x:c r="F89" s="49" t="str">
        <x:v>KEEP</x:v>
      </x:c>
      <x:c r="G89" s="49" t="str">
        <x:v>Chụp ảnh màn hình trang bằng headless browser</x:v>
      </x:c>
      <x:c r="H89" s="49" t="str">
        <x:v>K09-02</x:v>
      </x:c>
      <x:c r="I89" s="49" t="str">
        <x:v>Khải</x:v>
      </x:c>
    </x:row>
    <x:row r="90" ht="36" customHeight="1">
      <x:c r="A90" s="49" t="str">
        <x:v>M02-F048</x:v>
      </x:c>
      <x:c r="B90" s="49" t="str">
        <x:v>M02</x:v>
      </x:c>
      <x:c r="C90" s="49" t="str">
        <x:v>K-WP07</x:v>
      </x:c>
      <x:c r="D90" s="49" t="str">
        <x:v>Khải</x:v>
      </x:c>
      <x:c r="E90" s="49" t="str">
        <x:v>P1</x:v>
      </x:c>
      <x:c r="F90" s="49" t="str">
        <x:v>KEEP</x:v>
      </x:c>
      <x:c r="G90" s="49" t="str">
        <x:v>Lưu file vào object storage (MinIO / S3-compatible)</x:v>
      </x:c>
      <x:c r="H90" s="49" t="str">
        <x:v>K09-03</x:v>
      </x:c>
      <x:c r="I90" s="49" t="str">
        <x:v>Khải</x:v>
      </x:c>
    </x:row>
    <x:row r="91" ht="36" customHeight="1">
      <x:c r="A91" s="49" t="str">
        <x:v>M02-F049</x:v>
      </x:c>
      <x:c r="B91" s="49" t="str">
        <x:v>M02</x:v>
      </x:c>
      <x:c r="C91" s="49" t="str">
        <x:v>K-WP07</x:v>
      </x:c>
      <x:c r="D91" s="49" t="str">
        <x:v>Khải</x:v>
      </x:c>
      <x:c r="E91" s="49" t="str">
        <x:v>P1</x:v>
      </x:c>
      <x:c r="F91" s="49" t="str">
        <x:v>KEEP</x:v>
      </x:c>
      <x:c r="G91" s="49" t="str">
        <x:v>Sinh URL tạm có hạn để xem bằng chứng</x:v>
      </x:c>
      <x:c r="H91" s="49" t="str">
        <x:v>K09-04</x:v>
      </x:c>
      <x:c r="I91" s="49" t="str">
        <x:v>Khải</x:v>
      </x:c>
    </x:row>
    <x:row r="92" ht="36" customHeight="1">
      <x:c r="A92" s="49" t="str">
        <x:v>M02-F050</x:v>
      </x:c>
      <x:c r="B92" s="49" t="str">
        <x:v>M02</x:v>
      </x:c>
      <x:c r="C92" s="49" t="str">
        <x:v>K-WP07</x:v>
      </x:c>
      <x:c r="D92" s="49" t="str">
        <x:v>Khải</x:v>
      </x:c>
      <x:c r="E92" s="49" t="str">
        <x:v>P2</x:v>
      </x:c>
      <x:c r="F92" s="49" t="str">
        <x:v>KEEP</x:v>
      </x:c>
      <x:c r="G92" s="49" t="str">
        <x:v>Băm nội dung để chứng minh bằng chứng không bị sửa</x:v>
      </x:c>
      <x:c r="H92" s="49" t="str">
        <x:v>K09-05</x:v>
      </x:c>
      <x:c r="I92" s="49" t="str">
        <x:v>Khải</x:v>
      </x:c>
    </x:row>
    <x:row r="93" ht="36" customHeight="1">
      <x:c r="A93" s="49" t="str">
        <x:v>M02-F051</x:v>
      </x:c>
      <x:c r="B93" s="49" t="str">
        <x:v>M02</x:v>
      </x:c>
      <x:c r="C93" s="49" t="str">
        <x:v>K-WP07</x:v>
      </x:c>
      <x:c r="D93" s="49" t="str">
        <x:v>Khải</x:v>
      </x:c>
      <x:c r="E93" s="49" t="str">
        <x:v>P2</x:v>
      </x:c>
      <x:c r="F93" s="49" t="str">
        <x:v>KEEP</x:v>
      </x:c>
      <x:c r="G93" s="49" t="str">
        <x:v>Tự động xoá bằng chứng sau N ngày</x:v>
      </x:c>
      <x:c r="H93" s="49" t="str">
        <x:v>K09-06</x:v>
      </x:c>
      <x:c r="I93" s="49" t="str">
        <x:v>Khải</x:v>
      </x:c>
    </x:row>
    <x:row r="94" ht="36" customHeight="1">
      <x:c r="A94" s="49" t="str">
        <x:v>M02-F052</x:v>
      </x:c>
      <x:c r="B94" s="49" t="str">
        <x:v>M02</x:v>
      </x:c>
      <x:c r="C94" s="49" t="str">
        <x:v>K-WP07</x:v>
      </x:c>
      <x:c r="D94" s="49" t="str">
        <x:v>Khải</x:v>
      </x:c>
      <x:c r="E94" s="49" t="str">
        <x:v>P2</x:v>
      </x:c>
      <x:c r="F94" s="49" t="str">
        <x:v>KEEP</x:v>
      </x:c>
      <x:c r="G94" s="49" t="str">
        <x:v>So sánh ảnh chụp với trang thật của thương hiệu</x:v>
      </x:c>
      <x:c r="H94" s="49" t="str">
        <x:v>K09-07</x:v>
      </x:c>
      <x:c r="I94" s="49" t="str">
        <x:v>Khải</x:v>
      </x:c>
    </x:row>
    <x:row r="95" ht="36" customHeight="1">
      <x:c r="A95" s="49" t="str">
        <x:v>M02-F053</x:v>
      </x:c>
      <x:c r="B95" s="49" t="str">
        <x:v>M02</x:v>
      </x:c>
      <x:c r="C95" s="49" t="str">
        <x:v>K-WP08</x:v>
      </x:c>
      <x:c r="D95" s="49" t="str">
        <x:v>Khải</x:v>
      </x:c>
      <x:c r="E95" s="49" t="str">
        <x:v>P0</x:v>
      </x:c>
      <x:c r="F95" s="49" t="str">
        <x:v>KEEP</x:v>
      </x:c>
      <x:c r="G95" s="49" t="str">
        <x:v>Màn hình nhập liệu 4 tab: URL, văn bản, số điện thoại, số tài khoản</x:v>
      </x:c>
      <x:c r="H95" s="49" t="str">
        <x:v>T11-02</x:v>
      </x:c>
      <x:c r="I95" s="49" t="str">
        <x:v>Thắng</x:v>
      </x:c>
    </x:row>
    <x:row r="96" ht="36" customHeight="1">
      <x:c r="A96" s="49" t="str">
        <x:v>M02-F054</x:v>
      </x:c>
      <x:c r="B96" s="49" t="str">
        <x:v>M02</x:v>
      </x:c>
      <x:c r="C96" s="49" t="str">
        <x:v>K-WP08</x:v>
      </x:c>
      <x:c r="D96" s="49" t="str">
        <x:v>Khải</x:v>
      </x:c>
      <x:c r="E96" s="49" t="str">
        <x:v>P0</x:v>
      </x:c>
      <x:c r="F96" s="49" t="str">
        <x:v>ADD</x:v>
      </x:c>
      <x:c r="G96" s="49" t="str">
        <x:v>URL Worker chỉ trả `AnalysisSignal[]`, `DerivedIndicator[]` và `pendingAiTasks[]`; Spring Boot/M12 mới aggregate, gọi M09 và persist final `RiskResult`.</x:v>
      </x:c>
      <x:c r="H96" s="49" t="str">
        <x:v>ARCH-V3.2-01</x:v>
      </x:c>
      <x:c r="I96" s="49" t="str">
        <x:v>—</x:v>
      </x:c>
    </x:row>
    <x:row r="97" ht="36" customHeight="1">
      <x:c r="A97" s="49" t="str">
        <x:v>M02-F055</x:v>
      </x:c>
      <x:c r="B97" s="49" t="str">
        <x:v>M02</x:v>
      </x:c>
      <x:c r="C97" s="49" t="str">
        <x:v>K-WP08</x:v>
      </x:c>
      <x:c r="D97" s="49" t="str">
        <x:v>Khải</x:v>
      </x:c>
      <x:c r="E97" s="49" t="str">
        <x:v>P0</x:v>
      </x:c>
      <x:c r="F97" s="49" t="str">
        <x:v>ADD</x:v>
      </x:c>
      <x:c r="G97" s="49" t="str">
        <x:v>Spring Boot core pre-enrich known URL/domain reputation trước khi publish job; redirect/domain mới được worker trả về `DerivedIndicator` với `handling=REPUTATION_ONLY\|CHILD_SCAN`, worker không gọi ngược core.</x:v>
      </x:c>
      <x:c r="H97" s="49" t="str">
        <x:v>ARCH-V3.2-02</x:v>
      </x:c>
      <x:c r="I97" s="49" t="str">
        <x:v>—</x:v>
      </x:c>
    </x:row>
    <x:row r="98" ht="36" customHeight="1">
      <x:c r="A98" s="49" t="str">
        <x:v>M02-F056</x:v>
      </x:c>
      <x:c r="B98" s="49" t="str">
        <x:v>M02</x:v>
      </x:c>
      <x:c r="C98" s="49" t="str">
        <x:v>K-WP08</x:v>
      </x:c>
      <x:c r="D98" s="49" t="str">
        <x:v>Khải</x:v>
      </x:c>
      <x:c r="E98" s="49" t="str">
        <x:v>P0</x:v>
      </x:c>
      <x:c r="F98" s="49" t="str">
        <x:v>ADD</x:v>
      </x:c>
      <x:c r="G98" s="49" t="str">
        <x:v>Deferred reputation chạy trong core qua `ThreatQuery`: Redis→PostgreSQL, timeout ban đầu 500 ms; unavailable → `REPUTATION_UNAVAILABLE` nhưng scan tiếp tục degraded khi phù hợp.</x:v>
      </x:c>
      <x:c r="H98" s="49" t="str">
        <x:v>ARCH-V3.2-03</x:v>
      </x:c>
      <x:c r="I98" s="49" t="str">
        <x:v>—</x:v>
      </x:c>
    </x:row>
    <x:row r="99" ht="36" customHeight="1">
      <x:c r="A99" s="49" t="str">
        <x:v>M03-F001</x:v>
      </x:c>
      <x:c r="B99" s="49" t="str">
        <x:v>M03</x:v>
      </x:c>
      <x:c r="C99" s="49" t="str">
        <x:v>T-WP01</x:v>
      </x:c>
      <x:c r="D99" s="49" t="str">
        <x:v>Thắng</x:v>
      </x:c>
      <x:c r="E99" s="49" t="str">
        <x:v>P0</x:v>
      </x:c>
      <x:c r="F99" s="49" t="str">
        <x:v>KEEP</x:v>
      </x:c>
      <x:c r="G99" s="49" t="str">
        <x:v>Hạ chữ thường, bỏ dấu tiếng Việt, gộp khoảng trắng</x:v>
      </x:c>
      <x:c r="H99" s="49" t="str">
        <x:v>H09-01</x:v>
      </x:c>
      <x:c r="I99" s="49" t="str">
        <x:v>Hùng</x:v>
      </x:c>
    </x:row>
    <x:row r="100" ht="36" customHeight="1">
      <x:c r="A100" s="49" t="str">
        <x:v>M03-F002</x:v>
      </x:c>
      <x:c r="B100" s="49" t="str">
        <x:v>M03</x:v>
      </x:c>
      <x:c r="C100" s="49" t="str">
        <x:v>T-WP01</x:v>
      </x:c>
      <x:c r="D100" s="49" t="str">
        <x:v>Thắng</x:v>
      </x:c>
      <x:c r="E100" s="49" t="str">
        <x:v>P0</x:v>
      </x:c>
      <x:c r="F100" s="49" t="str">
        <x:v>KEEP</x:v>
      </x:c>
      <x:c r="G100" s="49" t="str">
        <x:v>Gỡ leetspeak theo token có chứa chữ cái (`vi3tc0mb4nk` → `vietcombank`)</x:v>
      </x:c>
      <x:c r="H100" s="49" t="str">
        <x:v>H09-02</x:v>
      </x:c>
      <x:c r="I100" s="49" t="str">
        <x:v>Hùng</x:v>
      </x:c>
    </x:row>
    <x:row r="101" ht="36" customHeight="1">
      <x:c r="A101" s="49" t="str">
        <x:v>M03-F003</x:v>
      </x:c>
      <x:c r="B101" s="49" t="str">
        <x:v>M03</x:v>
      </x:c>
      <x:c r="C101" s="49" t="str">
        <x:v>T-WP01</x:v>
      </x:c>
      <x:c r="D101" s="49" t="str">
        <x:v>Thắng</x:v>
      </x:c>
      <x:c r="E101" s="49" t="str">
        <x:v>P0</x:v>
      </x:c>
      <x:c r="F101" s="49" t="str">
        <x:v>KEEP</x:v>
      </x:c>
      <x:c r="G101" s="49" t="str">
        <x:v>So sánh hai mức chuẩn hoá để phát hiện cố tình né bộ lọc (fact `LEET_BRAND`)</x:v>
      </x:c>
      <x:c r="H101" s="49" t="str">
        <x:v>H09-03</x:v>
      </x:c>
      <x:c r="I101" s="49" t="str">
        <x:v>Hùng</x:v>
      </x:c>
    </x:row>
    <x:row r="102" ht="36" customHeight="1">
      <x:c r="A102" s="49" t="str">
        <x:v>M03-F004</x:v>
      </x:c>
      <x:c r="B102" s="49" t="str">
        <x:v>M03</x:v>
      </x:c>
      <x:c r="C102" s="49" t="str">
        <x:v>T-WP01</x:v>
      </x:c>
      <x:c r="D102" s="49" t="str">
        <x:v>Thắng</x:v>
      </x:c>
      <x:c r="E102" s="49" t="str">
        <x:v>P1</x:v>
      </x:c>
      <x:c r="F102" s="49" t="str">
        <x:v>KEEP</x:v>
      </x:c>
      <x:c r="G102" s="49" t="str">
        <x:v>Chuẩn hoá dấu câu, emoji, ký tự Unicode đồng hình (homoglyph)</x:v>
      </x:c>
      <x:c r="H102" s="49" t="str">
        <x:v>H09-04</x:v>
      </x:c>
      <x:c r="I102" s="49" t="str">
        <x:v>Hùng</x:v>
      </x:c>
    </x:row>
    <x:row r="103" ht="36" customHeight="1">
      <x:c r="A103" s="49" t="str">
        <x:v>M03-F005</x:v>
      </x:c>
      <x:c r="B103" s="49" t="str">
        <x:v>M03</x:v>
      </x:c>
      <x:c r="C103" s="49" t="str">
        <x:v>T-WP01</x:v>
      </x:c>
      <x:c r="D103" s="49" t="str">
        <x:v>Thắng</x:v>
      </x:c>
      <x:c r="E103" s="49" t="str">
        <x:v>P1</x:v>
      </x:c>
      <x:c r="F103" s="49" t="str">
        <x:v>KEEP</x:v>
      </x:c>
      <x:c r="G103" s="49" t="str">
        <x:v>Phát hiện chèn ký tự vô hình (zero-width space) để né bộ lọc</x:v>
      </x:c>
      <x:c r="H103" s="49" t="str">
        <x:v>H09-05</x:v>
      </x:c>
      <x:c r="I103" s="49" t="str">
        <x:v>Hùng</x:v>
      </x:c>
    </x:row>
    <x:row r="104" ht="36" customHeight="1">
      <x:c r="A104" s="49" t="str">
        <x:v>M03-F006</x:v>
      </x:c>
      <x:c r="B104" s="49" t="str">
        <x:v>M03</x:v>
      </x:c>
      <x:c r="C104" s="49" t="str">
        <x:v>T-WP01</x:v>
      </x:c>
      <x:c r="D104" s="49" t="str">
        <x:v>Thắng</x:v>
      </x:c>
      <x:c r="E104" s="49" t="str">
        <x:v>P2</x:v>
      </x:c>
      <x:c r="F104" s="49" t="str">
        <x:v>KEEP</x:v>
      </x:c>
      <x:c r="G104" s="49" t="str">
        <x:v>Chuẩn hoá teencode và viết tắt tiếng Việt phổ biến</x:v>
      </x:c>
      <x:c r="H104" s="49" t="str">
        <x:v>H09-06</x:v>
      </x:c>
      <x:c r="I104" s="49" t="str">
        <x:v>Hùng</x:v>
      </x:c>
    </x:row>
    <x:row r="105" ht="36" customHeight="1">
      <x:c r="A105" s="49" t="str">
        <x:v>M03-F007</x:v>
      </x:c>
      <x:c r="B105" s="49" t="str">
        <x:v>M03</x:v>
      </x:c>
      <x:c r="C105" s="49" t="str">
        <x:v>T-WP01</x:v>
      </x:c>
      <x:c r="D105" s="49" t="str">
        <x:v>Thắng</x:v>
      </x:c>
      <x:c r="E105" s="49" t="str">
        <x:v>P2</x:v>
      </x:c>
      <x:c r="F105" s="49" t="str">
        <x:v>KEEP</x:v>
      </x:c>
      <x:c r="G105" s="49" t="str">
        <x:v>Nhận diện ngôn ngữ đầu vào, cảnh báo khi không phải tiếng Việt</x:v>
      </x:c>
      <x:c r="H105" s="49" t="str">
        <x:v>H09-07</x:v>
      </x:c>
      <x:c r="I105" s="49" t="str">
        <x:v>Hùng</x:v>
      </x:c>
    </x:row>
    <x:row r="106" ht="36" customHeight="1">
      <x:c r="A106" s="49" t="str">
        <x:v>M03-F008</x:v>
      </x:c>
      <x:c r="B106" s="49" t="str">
        <x:v>M03</x:v>
      </x:c>
      <x:c r="C106" s="49" t="str">
        <x:v>T-WP02</x:v>
      </x:c>
      <x:c r="D106" s="49" t="str">
        <x:v>Thắng</x:v>
      </x:c>
      <x:c r="E106" s="49" t="str">
        <x:v>P0</x:v>
      </x:c>
      <x:c r="F106" s="49" t="str">
        <x:v>MODIFY</x:v>
      </x:c>
      <x:c r="G106" s="49" t="str">
        <x:v>`POST /v1/scans/text` xử lý bất đồng bộ qua `q.scan.text`, tối đa 20.000 ký tự ban đầu, trả `202 + scanId` khi tạo job thành công.</x:v>
      </x:c>
      <x:c r="H106" s="49" t="str">
        <x:v>R01-01</x:v>
      </x:c>
      <x:c r="I106" s="49" t="str">
        <x:v>Kiên</x:v>
      </x:c>
    </x:row>
    <x:row r="107" ht="36" customHeight="1">
      <x:c r="A107" s="49" t="str">
        <x:v>M03-F009</x:v>
      </x:c>
      <x:c r="B107" s="49" t="str">
        <x:v>M03</x:v>
      </x:c>
      <x:c r="C107" s="49" t="str">
        <x:v>T-WP02</x:v>
      </x:c>
      <x:c r="D107" s="49" t="str">
        <x:v>Thắng</x:v>
      </x:c>
      <x:c r="E107" s="49" t="str">
        <x:v>P0</x:v>
      </x:c>
      <x:c r="F107" s="49" t="str">
        <x:v>KEEP</x:v>
      </x:c>
      <x:c r="G107" s="49" t="str">
        <x:v>Khớp từ khoá theo 6 nhóm: khẩn cấp, giả danh, thông tin nhạy cảm, chuyển tiền, quá tốt để tin, mời việc làm</x:v>
      </x:c>
      <x:c r="H107" s="49" t="str">
        <x:v>R01-02</x:v>
      </x:c>
      <x:c r="I107" s="49" t="str">
        <x:v>Kiên</x:v>
      </x:c>
    </x:row>
    <x:row r="108" ht="36" customHeight="1">
      <x:c r="A108" s="49" t="str">
        <x:v>M03-F010</x:v>
      </x:c>
      <x:c r="B108" s="49" t="str">
        <x:v>M03</x:v>
      </x:c>
      <x:c r="C108" s="49" t="str">
        <x:v>T-WP02</x:v>
      </x:c>
      <x:c r="D108" s="49" t="str">
        <x:v>Thắng</x:v>
      </x:c>
      <x:c r="E108" s="49" t="str">
        <x:v>P0</x:v>
      </x:c>
      <x:c r="F108" s="49" t="str">
        <x:v>KEEP</x:v>
      </x:c>
      <x:c r="G108" s="49" t="str">
        <x:v>Nhận diện mẫu tổ hợp: giả mạo ngân hàng, giả danh cơ quan, trúng thưởng, tuyển CTV, shipper giả</x:v>
      </x:c>
      <x:c r="H108" s="49" t="str">
        <x:v>R01-03</x:v>
      </x:c>
      <x:c r="I108" s="49" t="str">
        <x:v>Kiên</x:v>
      </x:c>
    </x:row>
    <x:row r="109" ht="36" customHeight="1">
      <x:c r="A109" s="49" t="str">
        <x:v>M03-F011</x:v>
      </x:c>
      <x:c r="B109" s="49" t="str">
        <x:v>M03</x:v>
      </x:c>
      <x:c r="C109" s="49" t="str">
        <x:v>T-WP02</x:v>
      </x:c>
      <x:c r="D109" s="49" t="str">
        <x:v>Thắng</x:v>
      </x:c>
      <x:c r="E109" s="49" t="str">
        <x:v>P0</x:v>
      </x:c>
      <x:c r="F109" s="49" t="str">
        <x:v>KEEP</x:v>
      </x:c>
      <x:c r="G109" s="49" t="str">
        <x:v>Trang quét nội dung trên web, hiển thị điểm và bằng chứng</x:v>
      </x:c>
      <x:c r="H109" s="49" t="str">
        <x:v>R01-04</x:v>
      </x:c>
      <x:c r="I109" s="49" t="str">
        <x:v>Kiên</x:v>
      </x:c>
    </x:row>
    <x:row r="110" ht="36" customHeight="1">
      <x:c r="A110" s="49" t="str">
        <x:v>M03-F012</x:v>
      </x:c>
      <x:c r="B110" s="49" t="str">
        <x:v>M03</x:v>
      </x:c>
      <x:c r="C110" s="49" t="str">
        <x:v>T-WP02</x:v>
      </x:c>
      <x:c r="D110" s="49" t="str">
        <x:v>Thắng</x:v>
      </x:c>
      <x:c r="E110" s="49" t="str">
        <x:v>P1</x:v>
      </x:c>
      <x:c r="F110" s="49" t="str">
        <x:v>KEEP</x:v>
      </x:c>
      <x:c r="G110" s="49" t="str">
        <x:v>Hỗ trợ chọn nguồn tin (SMS / Zalo / Messenger / Email / Facebook) và điều chỉnh trọng số theo nguồn</x:v>
      </x:c>
      <x:c r="H110" s="49" t="str">
        <x:v>R01-05</x:v>
      </x:c>
      <x:c r="I110" s="49" t="str">
        <x:v>Kiên</x:v>
      </x:c>
    </x:row>
    <x:row r="111" ht="36" customHeight="1">
      <x:c r="A111" s="49" t="str">
        <x:v>M03-F013</x:v>
      </x:c>
      <x:c r="B111" s="49" t="str">
        <x:v>M03</x:v>
      </x:c>
      <x:c r="C111" s="49" t="str">
        <x:v>T-WP02</x:v>
      </x:c>
      <x:c r="D111" s="49" t="str">
        <x:v>Thắng</x:v>
      </x:c>
      <x:c r="E111" s="49" t="str">
        <x:v>P1</x:v>
      </x:c>
      <x:c r="F111" s="49" t="str">
        <x:v>KEEP</x:v>
      </x:c>
      <x:c r="G111" s="49" t="str">
        <x:v>Đánh dấu trực quan đoạn văn bản đã kích hoạt rule</x:v>
      </x:c>
      <x:c r="H111" s="49" t="str">
        <x:v>R01-06</x:v>
      </x:c>
      <x:c r="I111" s="49" t="str">
        <x:v>Kiên</x:v>
      </x:c>
    </x:row>
    <x:row r="112" ht="36" customHeight="1">
      <x:c r="A112" s="49" t="str">
        <x:v>M03-F014</x:v>
      </x:c>
      <x:c r="B112" s="49" t="str">
        <x:v>M03</x:v>
      </x:c>
      <x:c r="C112" s="49" t="str">
        <x:v>T-WP02</x:v>
      </x:c>
      <x:c r="D112" s="49" t="str">
        <x:v>Thắng</x:v>
      </x:c>
      <x:c r="E112" s="49" t="str">
        <x:v>P2</x:v>
      </x:c>
      <x:c r="F112" s="49" t="str">
        <x:v>KEEP</x:v>
      </x:c>
      <x:c r="G112" s="49" t="str">
        <x:v>Phân tích ảnh chụp màn hình tin nhắn bằng OCR</x:v>
      </x:c>
      <x:c r="H112" s="49" t="str">
        <x:v>R01-07</x:v>
      </x:c>
      <x:c r="I112" s="49" t="str">
        <x:v>Kiên</x:v>
      </x:c>
    </x:row>
    <x:row r="113" ht="36" customHeight="1">
      <x:c r="A113" s="49" t="str">
        <x:v>M03-F015</x:v>
      </x:c>
      <x:c r="B113" s="49" t="str">
        <x:v>M03</x:v>
      </x:c>
      <x:c r="C113" s="49" t="str">
        <x:v>T-WP02</x:v>
      </x:c>
      <x:c r="D113" s="49" t="str">
        <x:v>Thắng</x:v>
      </x:c>
      <x:c r="E113" s="49" t="str">
        <x:v>P2</x:v>
      </x:c>
      <x:c r="F113" s="49" t="str">
        <x:v>KEEP</x:v>
      </x:c>
      <x:c r="G113" s="49" t="str">
        <x:v>Phân tích tệp email `.eml` gồm cả header</x:v>
      </x:c>
      <x:c r="H113" s="49" t="str">
        <x:v>R01-08</x:v>
      </x:c>
      <x:c r="I113" s="49" t="str">
        <x:v>Kiên</x:v>
      </x:c>
    </x:row>
    <x:row r="114" ht="36" customHeight="1">
      <x:c r="A114" s="49" t="str">
        <x:v>M03-F016</x:v>
      </x:c>
      <x:c r="B114" s="49" t="str">
        <x:v>M03</x:v>
      </x:c>
      <x:c r="C114" s="49" t="str">
        <x:v>T-WP03</x:v>
      </x:c>
      <x:c r="D114" s="49" t="str">
        <x:v>Thắng</x:v>
      </x:c>
      <x:c r="E114" s="49" t="str">
        <x:v>P0</x:v>
      </x:c>
      <x:c r="F114" s="49" t="str">
        <x:v>KEEP</x:v>
      </x:c>
      <x:c r="G114" s="49" t="str">
        <x:v>Trích xuất URL (kể cả không có scheme) và địa chỉ IP</x:v>
      </x:c>
      <x:c r="H114" s="49" t="str">
        <x:v>R02-01</x:v>
      </x:c>
      <x:c r="I114" s="49" t="str">
        <x:v>Kiên</x:v>
      </x:c>
    </x:row>
    <x:row r="115" ht="36" customHeight="1">
      <x:c r="A115" s="49" t="str">
        <x:v>M03-F017</x:v>
      </x:c>
      <x:c r="B115" s="49" t="str">
        <x:v>M03</x:v>
      </x:c>
      <x:c r="C115" s="49" t="str">
        <x:v>T-WP03</x:v>
      </x:c>
      <x:c r="D115" s="49" t="str">
        <x:v>Thắng</x:v>
      </x:c>
      <x:c r="E115" s="49" t="str">
        <x:v>P0</x:v>
      </x:c>
      <x:c r="F115" s="49" t="str">
        <x:v>KEEP</x:v>
      </x:c>
      <x:c r="G115" s="49" t="str">
        <x:v>Trích xuất số điện thoại Việt Nam, chuẩn hoá về `+84...`</x:v>
      </x:c>
      <x:c r="H115" s="49" t="str">
        <x:v>R02-02</x:v>
      </x:c>
      <x:c r="I115" s="49" t="str">
        <x:v>Kiên</x:v>
      </x:c>
    </x:row>
    <x:row r="116" ht="36" customHeight="1">
      <x:c r="A116" s="49" t="str">
        <x:v>M03-F018</x:v>
      </x:c>
      <x:c r="B116" s="49" t="str">
        <x:v>M03</x:v>
      </x:c>
      <x:c r="C116" s="49" t="str">
        <x:v>T-WP03</x:v>
      </x:c>
      <x:c r="D116" s="49" t="str">
        <x:v>Thắng</x:v>
      </x:c>
      <x:c r="E116" s="49" t="str">
        <x:v>P0</x:v>
      </x:c>
      <x:c r="F116" s="49" t="str">
        <x:v>KEEP</x:v>
      </x:c>
      <x:c r="G116" s="49" t="str">
        <x:v>Trích xuất số tài khoản ngân hàng, không nhầm với số điện thoại</x:v>
      </x:c>
      <x:c r="H116" s="49" t="str">
        <x:v>R02-03</x:v>
      </x:c>
      <x:c r="I116" s="49" t="str">
        <x:v>Kiên</x:v>
      </x:c>
    </x:row>
    <x:row r="117" ht="36" customHeight="1">
      <x:c r="A117" s="49" t="str">
        <x:v>M03-F019</x:v>
      </x:c>
      <x:c r="B117" s="49" t="str">
        <x:v>M03</x:v>
      </x:c>
      <x:c r="C117" s="49" t="str">
        <x:v>T-WP03</x:v>
      </x:c>
      <x:c r="D117" s="49" t="str">
        <x:v>Thắng</x:v>
      </x:c>
      <x:c r="E117" s="49" t="str">
        <x:v>P0</x:v>
      </x:c>
      <x:c r="F117" s="49" t="str">
        <x:v>KEEP</x:v>
      </x:c>
      <x:c r="G117" s="49" t="str">
        <x:v>Trích xuất số tiền (`500k`, `100 triệu`, `1.000.000đ`)</x:v>
      </x:c>
      <x:c r="H117" s="49" t="str">
        <x:v>R02-04</x:v>
      </x:c>
      <x:c r="I117" s="49" t="str">
        <x:v>Kiên</x:v>
      </x:c>
    </x:row>
    <x:row r="118" ht="36" customHeight="1">
      <x:c r="A118" s="49" t="str">
        <x:v>M03-F020</x:v>
      </x:c>
      <x:c r="B118" s="49" t="str">
        <x:v>M03</x:v>
      </x:c>
      <x:c r="C118" s="49" t="str">
        <x:v>T-WP03</x:v>
      </x:c>
      <x:c r="D118" s="49" t="str">
        <x:v>Thắng</x:v>
      </x:c>
      <x:c r="E118" s="49" t="str">
        <x:v>P0</x:v>
      </x:c>
      <x:c r="F118" s="49" t="str">
        <x:v>KEEP</x:v>
      </x:c>
      <x:c r="G118" s="49" t="str">
        <x:v>Trích xuất mã OTP theo ngữ cảnh từ khoá</x:v>
      </x:c>
      <x:c r="H118" s="49" t="str">
        <x:v>R02-05</x:v>
      </x:c>
      <x:c r="I118" s="49" t="str">
        <x:v>Kiên</x:v>
      </x:c>
    </x:row>
    <x:row r="119" ht="36" customHeight="1">
      <x:c r="A119" s="49" t="str">
        <x:v>M03-F021</x:v>
      </x:c>
      <x:c r="B119" s="49" t="str">
        <x:v>M03</x:v>
      </x:c>
      <x:c r="C119" s="49" t="str">
        <x:v>T-WP03</x:v>
      </x:c>
      <x:c r="D119" s="49" t="str">
        <x:v>Thắng</x:v>
      </x:c>
      <x:c r="E119" s="49" t="str">
        <x:v>P1</x:v>
      </x:c>
      <x:c r="F119" s="49" t="str">
        <x:v>KEEP</x:v>
      </x:c>
      <x:c r="G119" s="49" t="str">
        <x:v>Trích xuất tên ngân hàng và mã ngân hàng</x:v>
      </x:c>
      <x:c r="H119" s="49" t="str">
        <x:v>R02-06</x:v>
      </x:c>
      <x:c r="I119" s="49" t="str">
        <x:v>Kiên</x:v>
      </x:c>
    </x:row>
    <x:row r="120" ht="36" customHeight="1">
      <x:c r="A120" s="49" t="str">
        <x:v>M03-F022</x:v>
      </x:c>
      <x:c r="B120" s="49" t="str">
        <x:v>M03</x:v>
      </x:c>
      <x:c r="C120" s="49" t="str">
        <x:v>T-WP03</x:v>
      </x:c>
      <x:c r="D120" s="49" t="str">
        <x:v>Thắng</x:v>
      </x:c>
      <x:c r="E120" s="49" t="str">
        <x:v>P1</x:v>
      </x:c>
      <x:c r="F120" s="49" t="str">
        <x:v>KEEP</x:v>
      </x:c>
      <x:c r="G120" s="49" t="str">
        <x:v>Trích xuất mốc thời gian và hạn chót ("trong vòng 24h")</x:v>
      </x:c>
      <x:c r="H120" s="49" t="str">
        <x:v>R02-07</x:v>
      </x:c>
      <x:c r="I120" s="49" t="str">
        <x:v>Kiên</x:v>
      </x:c>
    </x:row>
    <x:row r="121" ht="36" customHeight="1">
      <x:c r="A121" s="49" t="str">
        <x:v>M03-F023</x:v>
      </x:c>
      <x:c r="B121" s="49" t="str">
        <x:v>M03</x:v>
      </x:c>
      <x:c r="C121" s="49" t="str">
        <x:v>T-WP03</x:v>
      </x:c>
      <x:c r="D121" s="49" t="str">
        <x:v>Thắng</x:v>
      </x:c>
      <x:c r="E121" s="49" t="str">
        <x:v>P2</x:v>
      </x:c>
      <x:c r="F121" s="49" t="str">
        <x:v>KEEP</x:v>
      </x:c>
      <x:c r="G121" s="49" t="str">
        <x:v>Trích xuất địa chỉ ví tiền mã hoá</x:v>
      </x:c>
      <x:c r="H121" s="49" t="str">
        <x:v>R02-08</x:v>
      </x:c>
      <x:c r="I121" s="49" t="str">
        <x:v>Kiên</x:v>
      </x:c>
    </x:row>
    <x:row r="122" ht="36" customHeight="1">
      <x:c r="A122" s="49" t="str">
        <x:v>M03-F024</x:v>
      </x:c>
      <x:c r="B122" s="49" t="str">
        <x:v>M03</x:v>
      </x:c>
      <x:c r="C122" s="49" t="str">
        <x:v>T-WP04</x:v>
      </x:c>
      <x:c r="D122" s="49" t="str">
        <x:v>Thắng</x:v>
      </x:c>
      <x:c r="E122" s="49" t="str">
        <x:v>P0</x:v>
      </x:c>
      <x:c r="F122" s="49" t="str">
        <x:v>KEEP</x:v>
      </x:c>
      <x:c r="G122" s="49" t="str">
        <x:v>Định nghĩa và phân loại các mẫu lừa đảo phổ biến tại Việt Nam</x:v>
      </x:c>
      <x:c r="H122" s="49" t="str">
        <x:v>R03-01</x:v>
      </x:c>
      <x:c r="I122" s="49" t="str">
        <x:v>Kiên</x:v>
      </x:c>
    </x:row>
    <x:row r="123" ht="36" customHeight="1">
      <x:c r="A123" s="49" t="str">
        <x:v>M03-F025</x:v>
      </x:c>
      <x:c r="B123" s="49" t="str">
        <x:v>M03</x:v>
      </x:c>
      <x:c r="C123" s="49" t="str">
        <x:v>T-WP04</x:v>
      </x:c>
      <x:c r="D123" s="49" t="str">
        <x:v>Thắng</x:v>
      </x:c>
      <x:c r="E123" s="49" t="str">
        <x:v>P1</x:v>
      </x:c>
      <x:c r="F123" s="49" t="str">
        <x:v>KEEP</x:v>
      </x:c>
      <x:c r="G123" s="49" t="str">
        <x:v>Mỗi mẫu có mã, tên, mô tả, dấu hiệu nhận biết, ví dụ thật</x:v>
      </x:c>
      <x:c r="H123" s="49" t="str">
        <x:v>R03-02</x:v>
      </x:c>
      <x:c r="I123" s="49" t="str">
        <x:v>Kiên</x:v>
      </x:c>
    </x:row>
    <x:row r="124" ht="36" customHeight="1">
      <x:c r="A124" s="49" t="str">
        <x:v>M03-F026</x:v>
      </x:c>
      <x:c r="B124" s="49" t="str">
        <x:v>M03</x:v>
      </x:c>
      <x:c r="C124" s="49" t="str">
        <x:v>T-WP04</x:v>
      </x:c>
      <x:c r="D124" s="49" t="str">
        <x:v>Thắng</x:v>
      </x:c>
      <x:c r="E124" s="49" t="str">
        <x:v>P1</x:v>
      </x:c>
      <x:c r="F124" s="49" t="str">
        <x:v>KEEP</x:v>
      </x:c>
      <x:c r="G124" s="49" t="str">
        <x:v>Gán nhãn loại lừa đảo vào kết quả quét</x:v>
      </x:c>
      <x:c r="H124" s="49" t="str">
        <x:v>R03-03</x:v>
      </x:c>
      <x:c r="I124" s="49" t="str">
        <x:v>Kiên</x:v>
      </x:c>
    </x:row>
    <x:row r="125" ht="36" customHeight="1">
      <x:c r="A125" s="49" t="str">
        <x:v>M03-F027</x:v>
      </x:c>
      <x:c r="B125" s="49" t="str">
        <x:v>M03</x:v>
      </x:c>
      <x:c r="C125" s="49" t="str">
        <x:v>T-WP04</x:v>
      </x:c>
      <x:c r="D125" s="49" t="str">
        <x:v>Thắng</x:v>
      </x:c>
      <x:c r="E125" s="49" t="str">
        <x:v>P1</x:v>
      </x:c>
      <x:c r="F125" s="49" t="str">
        <x:v>KEEP</x:v>
      </x:c>
      <x:c r="G125" s="49" t="str">
        <x:v>Trang tra cứu các mẫu lừa đảo cho người dùng</x:v>
      </x:c>
      <x:c r="H125" s="49" t="str">
        <x:v>R03-04</x:v>
      </x:c>
      <x:c r="I125" s="49" t="str">
        <x:v>Kiên</x:v>
      </x:c>
    </x:row>
    <x:row r="126" ht="36" customHeight="1">
      <x:c r="A126" s="49" t="str">
        <x:v>M03-F028</x:v>
      </x:c>
      <x:c r="B126" s="49" t="str">
        <x:v>M03</x:v>
      </x:c>
      <x:c r="C126" s="49" t="str">
        <x:v>T-WP04</x:v>
      </x:c>
      <x:c r="D126" s="49" t="str">
        <x:v>Thắng</x:v>
      </x:c>
      <x:c r="E126" s="49" t="str">
        <x:v>P2</x:v>
      </x:c>
      <x:c r="F126" s="49" t="str">
        <x:v>KEEP</x:v>
      </x:c>
      <x:c r="G126" s="49" t="str">
        <x:v>Thống kê mẫu nào đang phổ biến theo thời gian</x:v>
      </x:c>
      <x:c r="H126" s="49" t="str">
        <x:v>R03-05</x:v>
      </x:c>
      <x:c r="I126" s="49" t="str">
        <x:v>Kiên</x:v>
      </x:c>
    </x:row>
    <x:row r="127" ht="36" customHeight="1">
      <x:c r="A127" s="49" t="str">
        <x:v>M03-F029</x:v>
      </x:c>
      <x:c r="B127" s="49" t="str">
        <x:v>M03</x:v>
      </x:c>
      <x:c r="C127" s="49" t="str">
        <x:v>T-WP04</x:v>
      </x:c>
      <x:c r="D127" s="49" t="str">
        <x:v>Thắng</x:v>
      </x:c>
      <x:c r="E127" s="49" t="str">
        <x:v>P2</x:v>
      </x:c>
      <x:c r="F127" s="49" t="str">
        <x:v>KEEP</x:v>
      </x:c>
      <x:c r="G127" s="49" t="str">
        <x:v>Cho phép admin thêm mẫu mới không cần sửa code</x:v>
      </x:c>
      <x:c r="H127" s="49" t="str">
        <x:v>R03-06</x:v>
      </x:c>
      <x:c r="I127" s="49" t="str">
        <x:v>Kiên</x:v>
      </x:c>
    </x:row>
    <x:row r="128" ht="36" customHeight="1">
      <x:c r="A128" s="49" t="str">
        <x:v>M03-F030</x:v>
      </x:c>
      <x:c r="B128" s="49" t="str">
        <x:v>M03</x:v>
      </x:c>
      <x:c r="C128" s="49" t="str">
        <x:v>T-WP04</x:v>
      </x:c>
      <x:c r="D128" s="49" t="str">
        <x:v>Thắng</x:v>
      </x:c>
      <x:c r="E128" s="49" t="str">
        <x:v>P2</x:v>
      </x:c>
      <x:c r="F128" s="49" t="str">
        <x:v>KEEP</x:v>
      </x:c>
      <x:c r="G128" s="49" t="str">
        <x:v>Ánh xạ mẫu sang khung phân loại quốc tế</x:v>
      </x:c>
      <x:c r="H128" s="49" t="str">
        <x:v>R03-07</x:v>
      </x:c>
      <x:c r="I128" s="49" t="str">
        <x:v>Kiên</x:v>
      </x:c>
    </x:row>
    <x:row r="129" ht="36" customHeight="1">
      <x:c r="A129" s="49" t="str">
        <x:v>M03-F031</x:v>
      </x:c>
      <x:c r="B129" s="49" t="str">
        <x:v>M03</x:v>
      </x:c>
      <x:c r="C129" s="49" t="str">
        <x:v>T-WP05</x:v>
      </x:c>
      <x:c r="D129" s="49" t="str">
        <x:v>Thắng</x:v>
      </x:c>
      <x:c r="E129" s="49" t="str">
        <x:v>P0</x:v>
      </x:c>
      <x:c r="F129" s="49" t="str">
        <x:v>KEEP</x:v>
      </x:c>
      <x:c r="G129" s="49" t="str">
        <x:v>Nhóm từ khoá lưu trong cấu hình, tự chuẩn hoá khi nạp</x:v>
      </x:c>
      <x:c r="H129" s="49" t="str">
        <x:v>R07-01</x:v>
      </x:c>
      <x:c r="I129" s="49" t="str">
        <x:v>Kiên</x:v>
      </x:c>
    </x:row>
    <x:row r="130" ht="36" customHeight="1">
      <x:c r="A130" s="49" t="str">
        <x:v>M03-F032</x:v>
      </x:c>
      <x:c r="B130" s="49" t="str">
        <x:v>M03</x:v>
      </x:c>
      <x:c r="C130" s="49" t="str">
        <x:v>T-WP05</x:v>
      </x:c>
      <x:c r="D130" s="49" t="str">
        <x:v>Thắng</x:v>
      </x:c>
      <x:c r="E130" s="49" t="str">
        <x:v>P1</x:v>
      </x:c>
      <x:c r="F130" s="49" t="str">
        <x:v>KEEP</x:v>
      </x:c>
      <x:c r="G130" s="49" t="str">
        <x:v>Trang admin quản lý nhóm từ khoá và từng từ khoá</x:v>
      </x:c>
      <x:c r="H130" s="49" t="str">
        <x:v>R07-02</x:v>
      </x:c>
      <x:c r="I130" s="49" t="str">
        <x:v>Kiên</x:v>
      </x:c>
    </x:row>
    <x:row r="131" ht="36" customHeight="1">
      <x:c r="A131" s="49" t="str">
        <x:v>M03-F033</x:v>
      </x:c>
      <x:c r="B131" s="49" t="str">
        <x:v>M03</x:v>
      </x:c>
      <x:c r="C131" s="49" t="str">
        <x:v>T-WP05</x:v>
      </x:c>
      <x:c r="D131" s="49" t="str">
        <x:v>Thắng</x:v>
      </x:c>
      <x:c r="E131" s="49" t="str">
        <x:v>P1</x:v>
      </x:c>
      <x:c r="F131" s="49" t="str">
        <x:v>KEEP</x:v>
      </x:c>
      <x:c r="G131" s="49" t="str">
        <x:v>Thêm/xoá từ khoá không cần deploy lại</x:v>
      </x:c>
      <x:c r="H131" s="49" t="str">
        <x:v>R07-03</x:v>
      </x:c>
      <x:c r="I131" s="49" t="str">
        <x:v>Kiên</x:v>
      </x:c>
    </x:row>
    <x:row r="132" ht="36" customHeight="1">
      <x:c r="A132" s="49" t="str">
        <x:v>M03-F034</x:v>
      </x:c>
      <x:c r="B132" s="49" t="str">
        <x:v>M03</x:v>
      </x:c>
      <x:c r="C132" s="49" t="str">
        <x:v>T-WP05</x:v>
      </x:c>
      <x:c r="D132" s="49" t="str">
        <x:v>Thắng</x:v>
      </x:c>
      <x:c r="E132" s="49" t="str">
        <x:v>P1</x:v>
      </x:c>
      <x:c r="F132" s="49" t="str">
        <x:v>KEEP</x:v>
      </x:c>
      <x:c r="G132" s="49" t="str">
        <x:v>Cảnh báo khi thêm từ khoá quá phổ thông dễ gây báo động giả</x:v>
      </x:c>
      <x:c r="H132" s="49" t="str">
        <x:v>R07-04</x:v>
      </x:c>
      <x:c r="I132" s="49" t="str">
        <x:v>Kiên</x:v>
      </x:c>
    </x:row>
    <x:row r="133" ht="36" customHeight="1">
      <x:c r="A133" s="49" t="str">
        <x:v>M03-F035</x:v>
      </x:c>
      <x:c r="B133" s="49" t="str">
        <x:v>M03</x:v>
      </x:c>
      <x:c r="C133" s="49" t="str">
        <x:v>T-WP05</x:v>
      </x:c>
      <x:c r="D133" s="49" t="str">
        <x:v>Thắng</x:v>
      </x:c>
      <x:c r="E133" s="49" t="str">
        <x:v>P2</x:v>
      </x:c>
      <x:c r="F133" s="49" t="str">
        <x:v>KEEP</x:v>
      </x:c>
      <x:c r="G133" s="49" t="str">
        <x:v>Gợi ý từ khoá mới từ các báo cáo cộng đồng đã duyệt</x:v>
      </x:c>
      <x:c r="H133" s="49" t="str">
        <x:v>R07-05</x:v>
      </x:c>
      <x:c r="I133" s="49" t="str">
        <x:v>Kiên</x:v>
      </x:c>
    </x:row>
    <x:row r="134" ht="36" customHeight="1">
      <x:c r="A134" s="49" t="str">
        <x:v>M03-F036</x:v>
      </x:c>
      <x:c r="B134" s="49" t="str">
        <x:v>M03</x:v>
      </x:c>
      <x:c r="C134" s="49" t="str">
        <x:v>T-WP05</x:v>
      </x:c>
      <x:c r="D134" s="49" t="str">
        <x:v>Thắng</x:v>
      </x:c>
      <x:c r="E134" s="49" t="str">
        <x:v>P2</x:v>
      </x:c>
      <x:c r="F134" s="49" t="str">
        <x:v>KEEP</x:v>
      </x:c>
      <x:c r="G134" s="49" t="str">
        <x:v>Hỗ trợ biểu thức chính quy cho từ khoá nâng cao</x:v>
      </x:c>
      <x:c r="H134" s="49" t="str">
        <x:v>R07-06</x:v>
      </x:c>
      <x:c r="I134" s="49" t="str">
        <x:v>Kiên</x:v>
      </x:c>
    </x:row>
    <x:row r="135" ht="36" customHeight="1">
      <x:c r="A135" s="49" t="str">
        <x:v>M03-F037</x:v>
      </x:c>
      <x:c r="B135" s="49" t="str">
        <x:v>M03</x:v>
      </x:c>
      <x:c r="C135" s="49" t="str">
        <x:v>T-WP05</x:v>
      </x:c>
      <x:c r="D135" s="49" t="str">
        <x:v>Thắng</x:v>
      </x:c>
      <x:c r="E135" s="49" t="str">
        <x:v>P2</x:v>
      </x:c>
      <x:c r="F135" s="49" t="str">
        <x:v>KEEP</x:v>
      </x:c>
      <x:c r="G135" s="49" t="str">
        <x:v>Từ điển đồng nghĩa và biến thể viết tắt</x:v>
      </x:c>
      <x:c r="H135" s="49" t="str">
        <x:v>R07-07</x:v>
      </x:c>
      <x:c r="I135" s="49" t="str">
        <x:v>Kiên</x:v>
      </x:c>
    </x:row>
    <x:row r="136" ht="36" customHeight="1">
      <x:c r="A136" s="49" t="str">
        <x:v>M03-F038</x:v>
      </x:c>
      <x:c r="B136" s="49" t="str">
        <x:v>M03</x:v>
      </x:c>
      <x:c r="C136" s="49" t="str">
        <x:v>T-WP06</x:v>
      </x:c>
      <x:c r="D136" s="49" t="str">
        <x:v>Thắng</x:v>
      </x:c>
      <x:c r="E136" s="49" t="str">
        <x:v>P1</x:v>
      </x:c>
      <x:c r="F136" s="49" t="str">
        <x:v>KEEP</x:v>
      </x:c>
      <x:c r="G136" s="49" t="str">
        <x:v>Nhận đầu vào là nhiều tin nhắn có thứ tự, không chỉ một đoạn</x:v>
      </x:c>
      <x:c r="H136" s="49" t="str">
        <x:v>R08-01</x:v>
      </x:c>
      <x:c r="I136" s="49" t="str">
        <x:v>Kiên</x:v>
      </x:c>
    </x:row>
    <x:row r="137" ht="36" customHeight="1">
      <x:c r="A137" s="49" t="str">
        <x:v>M03-F039</x:v>
      </x:c>
      <x:c r="B137" s="49" t="str">
        <x:v>M03</x:v>
      </x:c>
      <x:c r="C137" s="49" t="str">
        <x:v>T-WP06</x:v>
      </x:c>
      <x:c r="D137" s="49" t="str">
        <x:v>Thắng</x:v>
      </x:c>
      <x:c r="E137" s="49" t="str">
        <x:v>P1</x:v>
      </x:c>
      <x:c r="F137" s="49" t="str">
        <x:v>KEEP</x:v>
      </x:c>
      <x:c r="G137" s="49" t="str">
        <x:v>Nhận diện kịch bản leo thang: làm quen → tạo lòng tin → yêu cầu tiền</x:v>
      </x:c>
      <x:c r="H137" s="49" t="str">
        <x:v>R08-02</x:v>
      </x:c>
      <x:c r="I137" s="49" t="str">
        <x:v>Kiên</x:v>
      </x:c>
    </x:row>
    <x:row r="138" ht="36" customHeight="1">
      <x:c r="A138" s="49" t="str">
        <x:v>M03-F040</x:v>
      </x:c>
      <x:c r="B138" s="49" t="str">
        <x:v>M03</x:v>
      </x:c>
      <x:c r="C138" s="49" t="str">
        <x:v>T-WP06</x:v>
      </x:c>
      <x:c r="D138" s="49" t="str">
        <x:v>Thắng</x:v>
      </x:c>
      <x:c r="E138" s="49" t="str">
        <x:v>P1</x:v>
      </x:c>
      <x:c r="F138" s="49" t="str">
        <x:v>KEEP</x:v>
      </x:c>
      <x:c r="G138" s="49" t="str">
        <x:v>Tính điểm cho cả hội thoại, không chỉ từng tin nhắn rời</x:v>
      </x:c>
      <x:c r="H138" s="49" t="str">
        <x:v>R08-03</x:v>
      </x:c>
      <x:c r="I138" s="49" t="str">
        <x:v>Kiên</x:v>
      </x:c>
    </x:row>
    <x:row r="139" ht="36" customHeight="1">
      <x:c r="A139" s="49" t="str">
        <x:v>M03-F041</x:v>
      </x:c>
      <x:c r="B139" s="49" t="str">
        <x:v>M03</x:v>
      </x:c>
      <x:c r="C139" s="49" t="str">
        <x:v>T-WP06</x:v>
      </x:c>
      <x:c r="D139" s="49" t="str">
        <x:v>Thắng</x:v>
      </x:c>
      <x:c r="E139" s="49" t="str">
        <x:v>P2</x:v>
      </x:c>
      <x:c r="F139" s="49" t="str">
        <x:v>KEEP</x:v>
      </x:c>
      <x:c r="G139" s="49" t="str">
        <x:v>Nhận diện mẫu lừa đảo tình cảm và đầu tư dài ngày</x:v>
      </x:c>
      <x:c r="H139" s="49" t="str">
        <x:v>R08-04</x:v>
      </x:c>
      <x:c r="I139" s="49" t="str">
        <x:v>Kiên</x:v>
      </x:c>
    </x:row>
    <x:row r="140" ht="36" customHeight="1">
      <x:c r="A140" s="49" t="str">
        <x:v>M03-F042</x:v>
      </x:c>
      <x:c r="B140" s="49" t="str">
        <x:v>M03</x:v>
      </x:c>
      <x:c r="C140" s="49" t="str">
        <x:v>T-WP06</x:v>
      </x:c>
      <x:c r="D140" s="49" t="str">
        <x:v>Thắng</x:v>
      </x:c>
      <x:c r="E140" s="49" t="str">
        <x:v>P2</x:v>
      </x:c>
      <x:c r="F140" s="49" t="str">
        <x:v>KEEP</x:v>
      </x:c>
      <x:c r="G140" s="49" t="str">
        <x:v>Cảnh báo khi hội thoại chuyển hướng sang yêu cầu tài chính</x:v>
      </x:c>
      <x:c r="H140" s="49" t="str">
        <x:v>R08-05</x:v>
      </x:c>
      <x:c r="I140" s="49" t="str">
        <x:v>Kiên</x:v>
      </x:c>
    </x:row>
    <x:row r="141" ht="36" customHeight="1">
      <x:c r="A141" s="49" t="str">
        <x:v>M03-F043</x:v>
      </x:c>
      <x:c r="B141" s="49" t="str">
        <x:v>M03</x:v>
      </x:c>
      <x:c r="C141" s="49" t="str">
        <x:v>T-WP06</x:v>
      </x:c>
      <x:c r="D141" s="49" t="str">
        <x:v>Thắng</x:v>
      </x:c>
      <x:c r="E141" s="49" t="str">
        <x:v>P2</x:v>
      </x:c>
      <x:c r="F141" s="49" t="str">
        <x:v>KEEP</x:v>
      </x:c>
      <x:c r="G141" s="49" t="str">
        <x:v>Dòng thời gian trực quan của hội thoại kèm điểm rủi ro theo từng bước</x:v>
      </x:c>
      <x:c r="H141" s="49" t="str">
        <x:v>R08-06</x:v>
      </x:c>
      <x:c r="I141" s="49" t="str">
        <x:v>Kiên</x:v>
      </x:c>
    </x:row>
    <x:row r="142" ht="36" customHeight="1">
      <x:c r="A142" s="49" t="str">
        <x:v>M03-F044</x:v>
      </x:c>
      <x:c r="B142" s="49" t="str">
        <x:v>M03</x:v>
      </x:c>
      <x:c r="C142" s="49" t="str">
        <x:v>T-WP07</x:v>
      </x:c>
      <x:c r="D142" s="49" t="str">
        <x:v>Thắng</x:v>
      </x:c>
      <x:c r="E142" s="49" t="str">
        <x:v>P0</x:v>
      </x:c>
      <x:c r="F142" s="49" t="str">
        <x:v>KEEP</x:v>
      </x:c>
      <x:c r="G142" s="49" t="str">
        <x:v>**Không** đọc SMS, notification, call log, danh bạ hay clipboard ngầm; **không** dùng Accessibility Service</x:v>
      </x:c>
      <x:c r="H142" s="49" t="str">
        <x:v>T11-05</x:v>
      </x:c>
      <x:c r="I142" s="49" t="str">
        <x:v>Thắng</x:v>
      </x:c>
    </x:row>
    <x:row r="143" ht="36" customHeight="1">
      <x:c r="A143" s="49" t="str">
        <x:v>M03-F045</x:v>
      </x:c>
      <x:c r="B143" s="49" t="str">
        <x:v>M03</x:v>
      </x:c>
      <x:c r="C143" s="49" t="str">
        <x:v>T-WP07</x:v>
      </x:c>
      <x:c r="D143" s="49" t="str">
        <x:v>Thắng</x:v>
      </x:c>
      <x:c r="E143" s="49" t="str">
        <x:v>P1</x:v>
      </x:c>
      <x:c r="F143" s="49" t="str">
        <x:v>KEEP</x:v>
      </x:c>
      <x:c r="G143" s="49" t="str">
        <x:v>Dán nhanh từ clipboard khi ứng dụng đang mở (do người dùng chủ động bấm)</x:v>
      </x:c>
      <x:c r="H143" s="49" t="str">
        <x:v>T11-07</x:v>
      </x:c>
      <x:c r="I143" s="49" t="str">
        <x:v>Thắng</x:v>
      </x:c>
    </x:row>
    <x:row r="144" ht="36" customHeight="1">
      <x:c r="A144" s="49" t="str">
        <x:v>M03-F046</x:v>
      </x:c>
      <x:c r="B144" s="49" t="str">
        <x:v>M03</x:v>
      </x:c>
      <x:c r="C144" s="49" t="str">
        <x:v>T-WP07</x:v>
      </x:c>
      <x:c r="D144" s="49" t="str">
        <x:v>Thắng</x:v>
      </x:c>
      <x:c r="E144" s="49" t="str">
        <x:v>P0</x:v>
      </x:c>
      <x:c r="F144" s="49" t="str">
        <x:v>ADD</x:v>
      </x:c>
      <x:c r="G144" s="49" t="str">
        <x:v>`TEXT.contentType` thống nhất `MESSAGE \| TRANSACTION_POST`; không tạo endpoint riêng cho transaction post.</x:v>
      </x:c>
      <x:c r="H144" s="49" t="str">
        <x:v>ARCH-04 (Architecture V3.2)</x:v>
      </x:c>
      <x:c r="I144" s="49" t="str">
        <x:v>—</x:v>
      </x:c>
    </x:row>
    <x:row r="145" ht="36" customHeight="1">
      <x:c r="A145" s="49" t="str">
        <x:v>M03-F047</x:v>
      </x:c>
      <x:c r="B145" s="49" t="str">
        <x:v>M03</x:v>
      </x:c>
      <x:c r="C145" s="49" t="str">
        <x:v>T-WP07</x:v>
      </x:c>
      <x:c r="D145" s="49" t="str">
        <x:v>Thắng</x:v>
      </x:c>
      <x:c r="E145" s="49" t="str">
        <x:v>P0</x:v>
      </x:c>
      <x:c r="F145" s="49" t="str">
        <x:v>ADD</x:v>
      </x:c>
      <x:c r="G145" s="49" t="str">
        <x:v>Text Worker trả `DerivedIndicator[]` cho URL/Phone/Bank và `pendingAiTasks[]`; M12 Orchestrator quyết định `REPUTATION_ONLY`/`CHILD_SCAN`, tạo child scans và chờ AI task, worker không gọi worker/core trực tiếp.</x:v>
      </x:c>
      <x:c r="H145" s="49" t="str">
        <x:v>ARCH-V3.2-04</x:v>
      </x:c>
      <x:c r="I145" s="49" t="str">
        <x:v>—</x:v>
      </x:c>
    </x:row>
    <x:row r="146" ht="36" customHeight="1">
      <x:c r="A146" s="49" t="str">
        <x:v>M03-F048</x:v>
      </x:c>
      <x:c r="B146" s="49" t="str">
        <x:v>M03</x:v>
      </x:c>
      <x:c r="C146" s="49" t="str">
        <x:v>T-WP07</x:v>
      </x:c>
      <x:c r="D146" s="49" t="str">
        <x:v>Thắng</x:v>
      </x:c>
      <x:c r="E146" s="49" t="str">
        <x:v>P0</x:v>
      </x:c>
      <x:c r="F146" s="49" t="str">
        <x:v>ADD</x:v>
      </x:c>
      <x:c r="G146" s="49" t="str">
        <x:v>Phát hiện yêu cầu/thu thập CCCD như `SENSITIVE_IDENTITY_REQUEST`/sensitive-data signal; không có standalone CCCD lookup trong MVP.</x:v>
      </x:c>
      <x:c r="H146" s="49" t="str">
        <x:v>ARCH-06 (Architecture V3.2)</x:v>
      </x:c>
      <x:c r="I146" s="49" t="str">
        <x:v>—</x:v>
      </x:c>
    </x:row>
    <x:row r="147" ht="36" customHeight="1">
      <x:c r="A147" s="49" t="str">
        <x:v>M04-F001</x:v>
      </x:c>
      <x:c r="B147" s="49" t="str">
        <x:v>M04</x:v>
      </x:c>
      <x:c r="C147" s="49" t="str">
        <x:v>K-WP09</x:v>
      </x:c>
      <x:c r="D147" s="49" t="str">
        <x:v>Khải</x:v>
      </x:c>
      <x:c r="E147" s="49" t="str">
        <x:v>P0</x:v>
      </x:c>
      <x:c r="F147" s="49" t="str">
        <x:v>MODIFY</x:v>
      </x:c>
      <x:c r="G147" s="49" t="str">
        <x:v>`POST /v1/scans/entity` (`entityType=PHONE`), chuẩn hoá về `+84xxxxxxxxx`</x:v>
      </x:c>
      <x:c r="H147" s="49" t="str">
        <x:v>T01-01</x:v>
      </x:c>
      <x:c r="I147" s="49" t="str">
        <x:v>Thắng</x:v>
      </x:c>
    </x:row>
    <x:row r="148" ht="36" customHeight="1">
      <x:c r="A148" s="49" t="str">
        <x:v>M04-F002</x:v>
      </x:c>
      <x:c r="B148" s="49" t="str">
        <x:v>M04</x:v>
      </x:c>
      <x:c r="C148" s="49" t="str">
        <x:v>K-WP09</x:v>
      </x:c>
      <x:c r="D148" s="49" t="str">
        <x:v>Khải</x:v>
      </x:c>
      <x:c r="E148" s="49" t="str">
        <x:v>P0</x:v>
      </x:c>
      <x:c r="F148" s="49" t="str">
        <x:v>KEEP</x:v>
      </x:c>
      <x:c r="G148" s="49" t="str">
        <x:v>Tra `risk_entities` và số lượt bị báo cáo</x:v>
      </x:c>
      <x:c r="H148" s="49" t="str">
        <x:v>T01-02</x:v>
      </x:c>
      <x:c r="I148" s="49" t="str">
        <x:v>Thắng</x:v>
      </x:c>
    </x:row>
    <x:row r="149" ht="36" customHeight="1">
      <x:c r="A149" s="49" t="str">
        <x:v>M04-F003</x:v>
      </x:c>
      <x:c r="B149" s="49" t="str">
        <x:v>M04</x:v>
      </x:c>
      <x:c r="C149" s="49" t="str">
        <x:v>K-WP09</x:v>
      </x:c>
      <x:c r="D149" s="49" t="str">
        <x:v>Khải</x:v>
      </x:c>
      <x:c r="E149" s="49" t="str">
        <x:v>P0</x:v>
      </x:c>
      <x:c r="F149" s="49" t="str">
        <x:v>KEEP</x:v>
      </x:c>
      <x:c r="G149" s="49" t="str">
        <x:v>Tính điểm theo: có trong danh sách đen, số báo cáo, số báo cáo đã xác minh</x:v>
      </x:c>
      <x:c r="H149" s="49" t="str">
        <x:v>T01-03</x:v>
      </x:c>
      <x:c r="I149" s="49" t="str">
        <x:v>Thắng</x:v>
      </x:c>
    </x:row>
    <x:row r="150" ht="36" customHeight="1">
      <x:c r="A150" s="49" t="str">
        <x:v>M04-F004</x:v>
      </x:c>
      <x:c r="B150" s="49" t="str">
        <x:v>M04</x:v>
      </x:c>
      <x:c r="C150" s="49" t="str">
        <x:v>K-WP09</x:v>
      </x:c>
      <x:c r="D150" s="49" t="str">
        <x:v>Khải</x:v>
      </x:c>
      <x:c r="E150" s="49" t="str">
        <x:v>P1</x:v>
      </x:c>
      <x:c r="F150" s="49" t="str">
        <x:v>KEEP</x:v>
      </x:c>
      <x:c r="G150" s="49" t="str">
        <x:v>Suy giảm điểm theo thời gian — báo cáo cũ có trọng số thấp hơn</x:v>
      </x:c>
      <x:c r="H150" s="49" t="str">
        <x:v>T01-04</x:v>
      </x:c>
      <x:c r="I150" s="49" t="str">
        <x:v>Thắng</x:v>
      </x:c>
    </x:row>
    <x:row r="151" ht="36" customHeight="1">
      <x:c r="A151" s="49" t="str">
        <x:v>M04-F005</x:v>
      </x:c>
      <x:c r="B151" s="49" t="str">
        <x:v>M04</x:v>
      </x:c>
      <x:c r="C151" s="49" t="str">
        <x:v>K-WP09</x:v>
      </x:c>
      <x:c r="D151" s="49" t="str">
        <x:v>Khải</x:v>
      </x:c>
      <x:c r="E151" s="49" t="str">
        <x:v>P1</x:v>
      </x:c>
      <x:c r="F151" s="49" t="str">
        <x:v>MODIFY</x:v>
      </x:c>
      <x:c r="G151" s="49" t="str">
        <x:v>Tra uy tín số điện thoại qua core `ThreatQuery` cache-aside: Redis hit, cache miss về PostgreSQL; TTL theo source, mặc định 1 giờ thay vì hard-code theo entity.</x:v>
      </x:c>
      <x:c r="H151" s="49" t="str">
        <x:v>T01-05 + MODSPEC-V1.3</x:v>
      </x:c>
      <x:c r="I151" s="49" t="str">
        <x:v>Thắng</x:v>
      </x:c>
    </x:row>
    <x:row r="152" ht="36" customHeight="1">
      <x:c r="A152" s="49" t="str">
        <x:v>M04-F006</x:v>
      </x:c>
      <x:c r="B152" s="49" t="str">
        <x:v>M04</x:v>
      </x:c>
      <x:c r="C152" s="49" t="str">
        <x:v>K-WP09</x:v>
      </x:c>
      <x:c r="D152" s="49" t="str">
        <x:v>Khải</x:v>
      </x:c>
      <x:c r="E152" s="49" t="str">
        <x:v>P1</x:v>
      </x:c>
      <x:c r="F152" s="49" t="str">
        <x:v>KEEP</x:v>
      </x:c>
      <x:c r="G152" s="49" t="str">
        <x:v>Che số điện thoại khi ghi log và khi hiển thị công khai</x:v>
      </x:c>
      <x:c r="H152" s="49" t="str">
        <x:v>T01-06</x:v>
      </x:c>
      <x:c r="I152" s="49" t="str">
        <x:v>Thắng</x:v>
      </x:c>
    </x:row>
    <x:row r="153" ht="36" customHeight="1">
      <x:c r="A153" s="49" t="str">
        <x:v>M04-F007</x:v>
      </x:c>
      <x:c r="B153" s="49" t="str">
        <x:v>M04</x:v>
      </x:c>
      <x:c r="C153" s="49" t="str">
        <x:v>K-WP09</x:v>
      </x:c>
      <x:c r="D153" s="49" t="str">
        <x:v>Khải</x:v>
      </x:c>
      <x:c r="E153" s="49" t="str">
        <x:v>P2</x:v>
      </x:c>
      <x:c r="F153" s="49" t="str">
        <x:v>KEEP</x:v>
      </x:c>
      <x:c r="G153" s="49" t="str">
        <x:v>Nhận diện đầu số dịch vụ, đầu số quốc tế bất thường</x:v>
      </x:c>
      <x:c r="H153" s="49" t="str">
        <x:v>T01-07</x:v>
      </x:c>
      <x:c r="I153" s="49" t="str">
        <x:v>Thắng</x:v>
      </x:c>
    </x:row>
    <x:row r="154" ht="36" customHeight="1">
      <x:c r="A154" s="49" t="str">
        <x:v>M04-F008</x:v>
      </x:c>
      <x:c r="B154" s="49" t="str">
        <x:v>M04</x:v>
      </x:c>
      <x:c r="C154" s="49" t="str">
        <x:v>K-WP09</x:v>
      </x:c>
      <x:c r="D154" s="49" t="str">
        <x:v>Khải</x:v>
      </x:c>
      <x:c r="E154" s="49" t="str">
        <x:v>P2</x:v>
      </x:c>
      <x:c r="F154" s="49" t="str">
        <x:v>KEEP</x:v>
      </x:c>
      <x:c r="G154" s="49" t="str">
        <x:v>Nhận diện số giả mạo tổng đài ngân hàng</x:v>
      </x:c>
      <x:c r="H154" s="49" t="str">
        <x:v>T01-08</x:v>
      </x:c>
      <x:c r="I154" s="49" t="str">
        <x:v>Thắng</x:v>
      </x:c>
    </x:row>
    <x:row r="155" ht="36" customHeight="1">
      <x:c r="A155" s="49" t="str">
        <x:v>M04-F009</x:v>
      </x:c>
      <x:c r="B155" s="49" t="str">
        <x:v>M04</x:v>
      </x:c>
      <x:c r="C155" s="49" t="str">
        <x:v>K-WP10</x:v>
      </x:c>
      <x:c r="D155" s="49" t="str">
        <x:v>Khải</x:v>
      </x:c>
      <x:c r="E155" s="49" t="str">
        <x:v>P0</x:v>
      </x:c>
      <x:c r="F155" s="49" t="str">
        <x:v>MODIFY</x:v>
      </x:c>
      <x:c r="G155" s="49" t="str">
        <x:v>`POST /v1/scans/entity` (`entityType=BANK_ACCOUNT`), chuẩn hoá số tài khoản và mã ngân hàng</x:v>
      </x:c>
      <x:c r="H155" s="49" t="str">
        <x:v>T02-01</x:v>
      </x:c>
      <x:c r="I155" s="49" t="str">
        <x:v>Thắng</x:v>
      </x:c>
    </x:row>
    <x:row r="156" ht="36" customHeight="1">
      <x:c r="A156" s="49" t="str">
        <x:v>M04-F010</x:v>
      </x:c>
      <x:c r="B156" s="49" t="str">
        <x:v>M04</x:v>
      </x:c>
      <x:c r="C156" s="49" t="str">
        <x:v>K-WP10</x:v>
      </x:c>
      <x:c r="D156" s="49" t="str">
        <x:v>Khải</x:v>
      </x:c>
      <x:c r="E156" s="49" t="str">
        <x:v>P0</x:v>
      </x:c>
      <x:c r="F156" s="49" t="str">
        <x:v>KEEP</x:v>
      </x:c>
      <x:c r="G156" s="49" t="str">
        <x:v>Validate mã ngân hàng theo danh sách ngân hàng Việt Nam</x:v>
      </x:c>
      <x:c r="H156" s="49" t="str">
        <x:v>T02-02</x:v>
      </x:c>
      <x:c r="I156" s="49" t="str">
        <x:v>Thắng</x:v>
      </x:c>
    </x:row>
    <x:row r="157" ht="36" customHeight="1">
      <x:c r="A157" s="49" t="str">
        <x:v>M04-F011</x:v>
      </x:c>
      <x:c r="B157" s="49" t="str">
        <x:v>M04</x:v>
      </x:c>
      <x:c r="C157" s="49" t="str">
        <x:v>K-WP10</x:v>
      </x:c>
      <x:c r="D157" s="49" t="str">
        <x:v>Khải</x:v>
      </x:c>
      <x:c r="E157" s="49" t="str">
        <x:v>P0</x:v>
      </x:c>
      <x:c r="F157" s="49" t="str">
        <x:v>KEEP</x:v>
      </x:c>
      <x:c r="G157" s="49" t="str">
        <x:v>Tra `risk_entities` và các báo cáo liên quan</x:v>
      </x:c>
      <x:c r="H157" s="49" t="str">
        <x:v>T02-03</x:v>
      </x:c>
      <x:c r="I157" s="49" t="str">
        <x:v>Thắng</x:v>
      </x:c>
    </x:row>
    <x:row r="158" ht="36" customHeight="1">
      <x:c r="A158" s="49" t="str">
        <x:v>M04-F012</x:v>
      </x:c>
      <x:c r="B158" s="49" t="str">
        <x:v>M04</x:v>
      </x:c>
      <x:c r="C158" s="49" t="str">
        <x:v>K-WP10</x:v>
      </x:c>
      <x:c r="D158" s="49" t="str">
        <x:v>Khải</x:v>
      </x:c>
      <x:c r="E158" s="49" t="str">
        <x:v>P1</x:v>
      </x:c>
      <x:c r="F158" s="49" t="str">
        <x:v>MODIFY</x:v>
      </x:c>
      <x:c r="G158" s="49" t="str">
        <x:v>Tra uy tín tài khoản ngân hàng qua cùng core `ThreatQuery` cache-aside; Redis chỉ là hot cache, TTL theo source (mặc định 1 giờ), PostgreSQL là source of truth.</x:v>
      </x:c>
      <x:c r="H158" s="49" t="str">
        <x:v>T02-04 + MODSPEC-V1.3</x:v>
      </x:c>
      <x:c r="I158" s="49" t="str">
        <x:v>Thắng</x:v>
      </x:c>
    </x:row>
    <x:row r="159" ht="36" customHeight="1">
      <x:c r="A159" s="49" t="str">
        <x:v>M04-F013</x:v>
      </x:c>
      <x:c r="B159" s="49" t="str">
        <x:v>M04</x:v>
      </x:c>
      <x:c r="C159" s="49" t="str">
        <x:v>K-WP10</x:v>
      </x:c>
      <x:c r="D159" s="49" t="str">
        <x:v>Khải</x:v>
      </x:c>
      <x:c r="E159" s="49" t="str">
        <x:v>P1</x:v>
      </x:c>
      <x:c r="F159" s="49" t="str">
        <x:v>KEEP</x:v>
      </x:c>
      <x:c r="G159" s="49" t="str">
        <x:v>Che số tài khoản khi ghi log (`****1234`)</x:v>
      </x:c>
      <x:c r="H159" s="49" t="str">
        <x:v>T02-05</x:v>
      </x:c>
      <x:c r="I159" s="49" t="str">
        <x:v>Thắng</x:v>
      </x:c>
    </x:row>
    <x:row r="160" ht="36" customHeight="1">
      <x:c r="A160" s="49" t="str">
        <x:v>M04-F014</x:v>
      </x:c>
      <x:c r="B160" s="49" t="str">
        <x:v>M04</x:v>
      </x:c>
      <x:c r="C160" s="49" t="str">
        <x:v>K-WP10</x:v>
      </x:c>
      <x:c r="D160" s="49" t="str">
        <x:v>Khải</x:v>
      </x:c>
      <x:c r="E160" s="49" t="str">
        <x:v>P1</x:v>
      </x:c>
      <x:c r="F160" s="49" t="str">
        <x:v>KEEP</x:v>
      </x:c>
      <x:c r="G160" s="49" t="str">
        <x:v>Cảnh báo khi tên chủ tài khoản không khớp với tên người bán được nhắc tới</x:v>
      </x:c>
      <x:c r="H160" s="49" t="str">
        <x:v>T02-06</x:v>
      </x:c>
      <x:c r="I160" s="49" t="str">
        <x:v>Thắng</x:v>
      </x:c>
    </x:row>
    <x:row r="161" ht="36" customHeight="1">
      <x:c r="A161" s="49" t="str">
        <x:v>M04-F015</x:v>
      </x:c>
      <x:c r="B161" s="49" t="str">
        <x:v>M04</x:v>
      </x:c>
      <x:c r="C161" s="49" t="str">
        <x:v>K-WP10</x:v>
      </x:c>
      <x:c r="D161" s="49" t="str">
        <x:v>Khải</x:v>
      </x:c>
      <x:c r="E161" s="49" t="str">
        <x:v>P2</x:v>
      </x:c>
      <x:c r="F161" s="49" t="str">
        <x:v>KEEP</x:v>
      </x:c>
      <x:c r="G161" s="49" t="str">
        <x:v>Nhóm các báo cáo cùng một số tài khoản để thấy quy mô</x:v>
      </x:c>
      <x:c r="H161" s="49" t="str">
        <x:v>T02-07</x:v>
      </x:c>
      <x:c r="I161" s="49" t="str">
        <x:v>Thắng</x:v>
      </x:c>
    </x:row>
    <x:row r="162" ht="36" customHeight="1">
      <x:c r="A162" s="49" t="str">
        <x:v>M04-F016</x:v>
      </x:c>
      <x:c r="B162" s="49" t="str">
        <x:v>M04</x:v>
      </x:c>
      <x:c r="C162" s="49" t="str">
        <x:v>K-WP10</x:v>
      </x:c>
      <x:c r="D162" s="49" t="str">
        <x:v>Khải</x:v>
      </x:c>
      <x:c r="E162" s="49" t="str">
        <x:v>P2</x:v>
      </x:c>
      <x:c r="F162" s="49" t="str">
        <x:v>KEEP</x:v>
      </x:c>
      <x:c r="G162" s="49" t="str">
        <x:v>Cảnh báo tài khoản xuất hiện trong nhiều vụ khác nhau</x:v>
      </x:c>
      <x:c r="H162" s="49" t="str">
        <x:v>T02-08</x:v>
      </x:c>
      <x:c r="I162" s="49" t="str">
        <x:v>Thắng</x:v>
      </x:c>
    </x:row>
    <x:row r="163" ht="36" customHeight="1">
      <x:c r="A163" s="49" t="str">
        <x:v>M04-F017</x:v>
      </x:c>
      <x:c r="B163" s="49" t="str">
        <x:v>M04</x:v>
      </x:c>
      <x:c r="C163" s="49" t="str">
        <x:v>K-WP11</x:v>
      </x:c>
      <x:c r="D163" s="49" t="str">
        <x:v>Khải</x:v>
      </x:c>
      <x:c r="E163" s="49" t="str">
        <x:v>P0</x:v>
      </x:c>
      <x:c r="F163" s="49" t="str">
        <x:v>ADD</x:v>
      </x:c>
      <x:c r="G163" s="49" t="str">
        <x:v>Phone và Bank dùng chung `POST /v1/scans/entity` + `entityType`; validation/normalization theo strategy.</x:v>
      </x:c>
      <x:c r="H163" s="49" t="str">
        <x:v>ARCH-07 (Architecture V3.2)</x:v>
      </x:c>
      <x:c r="I163" s="49" t="str">
        <x:v>—</x:v>
      </x:c>
    </x:row>
    <x:row r="164" ht="36" customHeight="1">
      <x:c r="A164" s="49" t="str">
        <x:v>M04-F018</x:v>
      </x:c>
      <x:c r="B164" s="49" t="str">
        <x:v>M04</x:v>
      </x:c>
      <x:c r="C164" s="49" t="str">
        <x:v>K-WP11</x:v>
      </x:c>
      <x:c r="D164" s="49" t="str">
        <x:v>Khải</x:v>
      </x:c>
      <x:c r="E164" s="49" t="str">
        <x:v>P0</x:v>
      </x:c>
      <x:c r="F164" s="49" t="str">
        <x:v>ADD</x:v>
      </x:c>
      <x:c r="G164" s="49" t="str">
        <x:v>UI/result phải phân biệt `NO_DATA` với verified-safe; không tìm thấy dữ liệu rủi ro không được diễn giải thành an toàn tuyệt đối.</x:v>
      </x:c>
      <x:c r="H164" s="49" t="str">
        <x:v>ARCH-08 (Architecture V3.2)</x:v>
      </x:c>
      <x:c r="I164" s="49" t="str">
        <x:v>—</x:v>
      </x:c>
    </x:row>
    <x:row r="165" ht="36" customHeight="1">
      <x:c r="A165" s="49" t="str">
        <x:v>M05-F001</x:v>
      </x:c>
      <x:c r="B165" s="49" t="str">
        <x:v>M05</x:v>
      </x:c>
      <x:c r="C165" s="49" t="str">
        <x:v>T-WP08</x:v>
      </x:c>
      <x:c r="D165" s="49" t="str">
        <x:v>Thắng</x:v>
      </x:c>
      <x:c r="E165" s="49" t="str">
        <x:v>P0</x:v>
      </x:c>
      <x:c r="F165" s="49" t="str">
        <x:v>MODIFY</x:v>
      </x:c>
      <x:c r="G165" s="49" t="str">
        <x:v>`POST /v1/scans/qr` nhận ảnh multipart hoặc encoded QR payload theo contract; Mobile có thể decode trên thiết bị nhưng server không phụ thuộc bắt buộc vào client decode.</x:v>
      </x:c>
      <x:c r="H165" s="49" t="str">
        <x:v>T03-01</x:v>
      </x:c>
      <x:c r="I165" s="49" t="str">
        <x:v>Thắng</x:v>
      </x:c>
    </x:row>
    <x:row r="166" ht="36" customHeight="1">
      <x:c r="A166" s="49" t="str">
        <x:v>M05-F002</x:v>
      </x:c>
      <x:c r="B166" s="49" t="str">
        <x:v>M05</x:v>
      </x:c>
      <x:c r="C166" s="49" t="str">
        <x:v>T-WP08</x:v>
      </x:c>
      <x:c r="D166" s="49" t="str">
        <x:v>Thắng</x:v>
      </x:c>
      <x:c r="E166" s="49" t="str">
        <x:v>P0</x:v>
      </x:c>
      <x:c r="F166" s="49" t="str">
        <x:v>KEEP</x:v>
      </x:c>
      <x:c r="G166" s="49" t="str">
        <x:v>Phân loại nội dung QR: URL / VietQR / văn bản thường / không xác định</x:v>
      </x:c>
      <x:c r="H166" s="49" t="str">
        <x:v>T03-02</x:v>
      </x:c>
      <x:c r="I166" s="49" t="str">
        <x:v>Thắng</x:v>
      </x:c>
    </x:row>
    <x:row r="167" ht="36" customHeight="1">
      <x:c r="A167" s="49" t="str">
        <x:v>M05-F003</x:v>
      </x:c>
      <x:c r="B167" s="49" t="str">
        <x:v>M05</x:v>
      </x:c>
      <x:c r="C167" s="49" t="str">
        <x:v>T-WP08</x:v>
      </x:c>
      <x:c r="D167" s="49" t="str">
        <x:v>Thắng</x:v>
      </x:c>
      <x:c r="E167" s="49" t="str">
        <x:v>P0</x:v>
      </x:c>
      <x:c r="F167" s="49" t="str">
        <x:v>KEEP</x:v>
      </x:c>
      <x:c r="G167" s="49" t="str">
        <x:v>Định tuyến: URL → quét URL, VietQR → tra tài khoản, văn bản → phân tích nội dung</x:v>
      </x:c>
      <x:c r="H167" s="49" t="str">
        <x:v>T03-03</x:v>
      </x:c>
      <x:c r="I167" s="49" t="str">
        <x:v>Thắng</x:v>
      </x:c>
    </x:row>
    <x:row r="168" ht="36" customHeight="1">
      <x:c r="A168" s="49" t="str">
        <x:v>M05-F004</x:v>
      </x:c>
      <x:c r="B168" s="49" t="str">
        <x:v>M05</x:v>
      </x:c>
      <x:c r="C168" s="49" t="str">
        <x:v>T-WP08</x:v>
      </x:c>
      <x:c r="D168" s="49" t="str">
        <x:v>Thắng</x:v>
      </x:c>
      <x:c r="E168" s="49" t="str">
        <x:v>P0</x:v>
      </x:c>
      <x:c r="F168" s="49" t="str">
        <x:v>KEEP</x:v>
      </x:c>
      <x:c r="G168" s="49" t="str">
        <x:v>Parse VietQR lấy mã ngân hàng, số tài khoản, số tiền, nội dung chuyển khoản</x:v>
      </x:c>
      <x:c r="H168" s="49" t="str">
        <x:v>T03-04</x:v>
      </x:c>
      <x:c r="I168" s="49" t="str">
        <x:v>Thắng</x:v>
      </x:c>
    </x:row>
    <x:row r="169" ht="36" customHeight="1">
      <x:c r="A169" s="49" t="str">
        <x:v>M05-F005</x:v>
      </x:c>
      <x:c r="B169" s="49" t="str">
        <x:v>M05</x:v>
      </x:c>
      <x:c r="C169" s="49" t="str">
        <x:v>T-WP08</x:v>
      </x:c>
      <x:c r="D169" s="49" t="str">
        <x:v>Thắng</x:v>
      </x:c>
      <x:c r="E169" s="49" t="str">
        <x:v>P0</x:v>
      </x:c>
      <x:c r="F169" s="49" t="str">
        <x:v>KEEP</x:v>
      </x:c>
      <x:c r="G169" s="49" t="str">
        <x:v>QR chứa URL bắt buộc đi qua SSRF guard</x:v>
      </x:c>
      <x:c r="H169" s="49" t="str">
        <x:v>T03-05</x:v>
      </x:c>
      <x:c r="I169" s="49" t="str">
        <x:v>Thắng</x:v>
      </x:c>
    </x:row>
    <x:row r="170" ht="36" customHeight="1">
      <x:c r="A170" s="49" t="str">
        <x:v>M05-F006</x:v>
      </x:c>
      <x:c r="B170" s="49" t="str">
        <x:v>M05</x:v>
      </x:c>
      <x:c r="C170" s="49" t="str">
        <x:v>T-WP08</x:v>
      </x:c>
      <x:c r="D170" s="49" t="str">
        <x:v>Thắng</x:v>
      </x:c>
      <x:c r="E170" s="49" t="str">
        <x:v>P1</x:v>
      </x:c>
      <x:c r="F170" s="49" t="str">
        <x:v>KEEP</x:v>
      </x:c>
      <x:c r="G170" s="49" t="str">
        <x:v>Giải mã QR từ ảnh tải lên trên web</x:v>
      </x:c>
      <x:c r="H170" s="49" t="str">
        <x:v>T03-06</x:v>
      </x:c>
      <x:c r="I170" s="49" t="str">
        <x:v>Thắng</x:v>
      </x:c>
    </x:row>
    <x:row r="171" ht="36" customHeight="1">
      <x:c r="A171" s="49" t="str">
        <x:v>M05-F007</x:v>
      </x:c>
      <x:c r="B171" s="49" t="str">
        <x:v>M05</x:v>
      </x:c>
      <x:c r="C171" s="49" t="str">
        <x:v>T-WP09</x:v>
      </x:c>
      <x:c r="D171" s="49" t="str">
        <x:v>Thắng</x:v>
      </x:c>
      <x:c r="E171" s="49" t="str">
        <x:v>P2</x:v>
      </x:c>
      <x:c r="F171" s="49" t="str">
        <x:v>FUTURE_SCOPE</x:v>
      </x:c>
      <x:c r="G171" s="49" t="str">
        <x:v>Cảnh báo QR bị dán đè lên QR thật (so với lịch sử quét cùng địa điểm)</x:v>
      </x:c>
      <x:c r="H171" s="49" t="str">
        <x:v>T03-07</x:v>
      </x:c>
      <x:c r="I171" s="49" t="str">
        <x:v>Thắng</x:v>
      </x:c>
    </x:row>
    <x:row r="172" ht="36" customHeight="1">
      <x:c r="A172" s="49" t="str">
        <x:v>M05-F008</x:v>
      </x:c>
      <x:c r="B172" s="49" t="str">
        <x:v>M05</x:v>
      </x:c>
      <x:c r="C172" s="49" t="str">
        <x:v>T-WP09</x:v>
      </x:c>
      <x:c r="D172" s="49" t="str">
        <x:v>Thắng</x:v>
      </x:c>
      <x:c r="E172" s="49" t="str">
        <x:v>P2</x:v>
      </x:c>
      <x:c r="F172" s="49" t="str">
        <x:v>FUTURE_SCOPE</x:v>
      </x:c>
      <x:c r="G172" s="49" t="str">
        <x:v>Cảnh báo khi số tiền trong QR khác số tiền người dùng dự kiến</x:v>
      </x:c>
      <x:c r="H172" s="49" t="str">
        <x:v>T03-08</x:v>
      </x:c>
      <x:c r="I172" s="49" t="str">
        <x:v>Thắng</x:v>
      </x:c>
    </x:row>
    <x:row r="173" ht="36" customHeight="1">
      <x:c r="A173" s="49" t="str">
        <x:v>M05-F009</x:v>
      </x:c>
      <x:c r="B173" s="49" t="str">
        <x:v>M05</x:v>
      </x:c>
      <x:c r="C173" s="49" t="str">
        <x:v>T-WP08</x:v>
      </x:c>
      <x:c r="D173" s="49" t="str">
        <x:v>Thắng</x:v>
      </x:c>
      <x:c r="E173" s="49" t="str">
        <x:v>P0</x:v>
      </x:c>
      <x:c r="F173" s="49" t="str">
        <x:v>KEEP</x:v>
      </x:c>
      <x:c r="G173" s="49" t="str">
        <x:v>Trình quét QR bằng camera, **giải mã trên thiết bị**, chỉ gửi `qrData` lên server</x:v>
      </x:c>
      <x:c r="H173" s="49" t="str">
        <x:v>T11-03</x:v>
      </x:c>
      <x:c r="I173" s="49" t="str">
        <x:v>Thắng</x:v>
      </x:c>
    </x:row>
    <x:row r="174" ht="36" customHeight="1">
      <x:c r="A174" s="49" t="str">
        <x:v>M05-F010</x:v>
      </x:c>
      <x:c r="B174" s="49" t="str">
        <x:v>M05</x:v>
      </x:c>
      <x:c r="C174" s="49" t="str">
        <x:v>T-WP08</x:v>
      </x:c>
      <x:c r="D174" s="49" t="str">
        <x:v>Thắng</x:v>
      </x:c>
      <x:c r="E174" s="49" t="str">
        <x:v>P0</x:v>
      </x:c>
      <x:c r="F174" s="49" t="str">
        <x:v>ADD</x:v>
      </x:c>
      <x:c r="G174" s="49" t="str">
        <x:v>QR Parser chỉ decode/classify/return `DerivedIndicator[]`; M12 Orchestrator chịu trách nhiệm dispatch URL/Text/Entity child scans.</x:v>
      </x:c>
      <x:c r="H174" s="49" t="str">
        <x:v>ARCH-09 (Architecture V3.2)</x:v>
      </x:c>
      <x:c r="I174" s="49" t="str">
        <x:v>—</x:v>
      </x:c>
    </x:row>
    <x:row r="175" ht="36" customHeight="1">
      <x:c r="A175" s="49" t="str">
        <x:v>M06-F001</x:v>
      </x:c>
      <x:c r="B175" s="49" t="str">
        <x:v>M06</x:v>
      </x:c>
      <x:c r="C175" s="49" t="str">
        <x:v>T-WP11</x:v>
      </x:c>
      <x:c r="D175" s="49" t="str">
        <x:v>Thắng</x:v>
      </x:c>
      <x:c r="E175" s="49" t="str">
        <x:v>P0</x:v>
      </x:c>
      <x:c r="F175" s="49" t="str">
        <x:v>KEEP</x:v>
      </x:c>
      <x:c r="G175" s="49" t="str">
        <x:v>Người dùng xoá được lịch sử quét của mình</x:v>
      </x:c>
      <x:c r="H175" s="49" t="str">
        <x:v>H08-03</x:v>
      </x:c>
      <x:c r="I175" s="49" t="str">
        <x:v>Hùng</x:v>
      </x:c>
    </x:row>
    <x:row r="176" ht="36" customHeight="1">
      <x:c r="A176" s="49" t="str">
        <x:v>M06-F002</x:v>
      </x:c>
      <x:c r="B176" s="49" t="str">
        <x:v>M06</x:v>
      </x:c>
      <x:c r="C176" s="49" t="str">
        <x:v>T-WP11</x:v>
      </x:c>
      <x:c r="D176" s="49" t="str">
        <x:v>Thắng</x:v>
      </x:c>
      <x:c r="E176" s="49" t="str">
        <x:v>P1</x:v>
      </x:c>
      <x:c r="F176" s="49" t="str">
        <x:v>KEEP</x:v>
      </x:c>
      <x:c r="G176" s="49" t="str">
        <x:v>Tự động xoá bản ghi quét cũ hơn N ngày (cấu hình được)</x:v>
      </x:c>
      <x:c r="H176" s="49" t="str">
        <x:v>H08-04</x:v>
      </x:c>
      <x:c r="I176" s="49" t="str">
        <x:v>Hùng</x:v>
      </x:c>
    </x:row>
    <x:row r="177" ht="36" customHeight="1">
      <x:c r="A177" s="49" t="str">
        <x:v>M06-F003</x:v>
      </x:c>
      <x:c r="B177" s="49" t="str">
        <x:v>M06</x:v>
      </x:c>
      <x:c r="C177" s="49" t="str">
        <x:v>T-WP10</x:v>
      </x:c>
      <x:c r="D177" s="49" t="str">
        <x:v>Thắng</x:v>
      </x:c>
      <x:c r="E177" s="49" t="str">
        <x:v>P0</x:v>
      </x:c>
      <x:c r="F177" s="49" t="str">
        <x:v>MODIFY</x:v>
      </x:c>
      <x:c r="G177" s="49" t="str">
        <x:v>`GET /v1/scans/history` — chỉ trả scan mà user có quyền truy cập.</x:v>
      </x:c>
      <x:c r="H177" s="49" t="str">
        <x:v>T10-01</x:v>
      </x:c>
      <x:c r="I177" s="49" t="str">
        <x:v>Thắng</x:v>
      </x:c>
    </x:row>
    <x:row r="178" ht="36" customHeight="1">
      <x:c r="A178" s="49" t="str">
        <x:v>M06-F004</x:v>
      </x:c>
      <x:c r="B178" s="49" t="str">
        <x:v>M06</x:v>
      </x:c>
      <x:c r="C178" s="49" t="str">
        <x:v>T-WP10</x:v>
      </x:c>
      <x:c r="D178" s="49" t="str">
        <x:v>Thắng</x:v>
      </x:c>
      <x:c r="E178" s="49" t="str">
        <x:v>P0</x:v>
      </x:c>
      <x:c r="F178" s="49" t="str">
        <x:v>MODIFY</x:v>
      </x:c>
      <x:c r="G178" s="49" t="str">
        <x:v>`GET /v1/scans/{scanId}` với authorization theo owner/RBAC; không để client query DB trực tiếp.</x:v>
      </x:c>
      <x:c r="H178" s="49" t="str">
        <x:v>T10-02</x:v>
      </x:c>
      <x:c r="I178" s="49" t="str">
        <x:v>Thắng</x:v>
      </x:c>
    </x:row>
    <x:row r="179" ht="36" customHeight="1">
      <x:c r="A179" s="49" t="str">
        <x:v>M06-F005</x:v>
      </x:c>
      <x:c r="B179" s="49" t="str">
        <x:v>M06</x:v>
      </x:c>
      <x:c r="C179" s="49" t="str">
        <x:v>T-WP10</x:v>
      </x:c>
      <x:c r="D179" s="49" t="str">
        <x:v>Thắng</x:v>
      </x:c>
      <x:c r="E179" s="49" t="str">
        <x:v>P0</x:v>
      </x:c>
      <x:c r="F179" s="49" t="str">
        <x:v>KEEP</x:v>
      </x:c>
      <x:c r="G179" s="49" t="str">
        <x:v>Phân trang bằng cursor</x:v>
      </x:c>
      <x:c r="H179" s="49" t="str">
        <x:v>T10-03</x:v>
      </x:c>
      <x:c r="I179" s="49" t="str">
        <x:v>Thắng</x:v>
      </x:c>
    </x:row>
    <x:row r="180" ht="36" customHeight="1">
      <x:c r="A180" s="49" t="str">
        <x:v>M06-F006</x:v>
      </x:c>
      <x:c r="B180" s="49" t="str">
        <x:v>M06</x:v>
      </x:c>
      <x:c r="C180" s="49" t="str">
        <x:v>T-WP10</x:v>
      </x:c>
      <x:c r="D180" s="49" t="str">
        <x:v>Thắng</x:v>
      </x:c>
      <x:c r="E180" s="49" t="str">
        <x:v>P1</x:v>
      </x:c>
      <x:c r="F180" s="49" t="str">
        <x:v>KEEP</x:v>
      </x:c>
      <x:c r="G180" s="49" t="str">
        <x:v>Lọc theo loại đầu vào, mức rủi ro, khoảng thời gian</x:v>
      </x:c>
      <x:c r="H180" s="49" t="str">
        <x:v>T10-04</x:v>
      </x:c>
      <x:c r="I180" s="49" t="str">
        <x:v>Thắng</x:v>
      </x:c>
    </x:row>
    <x:row r="181" ht="36" customHeight="1">
      <x:c r="A181" s="49" t="str">
        <x:v>M06-F007</x:v>
      </x:c>
      <x:c r="B181" s="49" t="str">
        <x:v>M06</x:v>
      </x:c>
      <x:c r="C181" s="49" t="str">
        <x:v>T-WP11</x:v>
      </x:c>
      <x:c r="D181" s="49" t="str">
        <x:v>Thắng</x:v>
      </x:c>
      <x:c r="E181" s="49" t="str">
        <x:v>P1</x:v>
      </x:c>
      <x:c r="F181" s="49" t="str">
        <x:v>KEEP</x:v>
      </x:c>
      <x:c r="G181" s="49" t="str">
        <x:v>Xoá từng bản ghi hoặc xoá toàn bộ lịch sử, kèm xoá bằng chứng</x:v>
      </x:c>
      <x:c r="H181" s="49" t="str">
        <x:v>T10-05</x:v>
      </x:c>
      <x:c r="I181" s="49" t="str">
        <x:v>Thắng</x:v>
      </x:c>
    </x:row>
    <x:row r="182" ht="36" customHeight="1">
      <x:c r="A182" s="49" t="str">
        <x:v>M06-F008</x:v>
      </x:c>
      <x:c r="B182" s="49" t="str">
        <x:v>M06</x:v>
      </x:c>
      <x:c r="C182" s="49" t="str">
        <x:v>T-WP11</x:v>
      </x:c>
      <x:c r="D182" s="49" t="str">
        <x:v>Thắng</x:v>
      </x:c>
      <x:c r="E182" s="49" t="str">
        <x:v>P1</x:v>
      </x:c>
      <x:c r="F182" s="49" t="str">
        <x:v>KEEP</x:v>
      </x:c>
      <x:c r="G182" s="49" t="str">
        <x:v>Đánh dấu và ghi chú cho bản ghi quan trọng</x:v>
      </x:c>
      <x:c r="H182" s="49" t="str">
        <x:v>T10-06</x:v>
      </x:c>
      <x:c r="I182" s="49" t="str">
        <x:v>Thắng</x:v>
      </x:c>
    </x:row>
    <x:row r="183" ht="36" customHeight="1">
      <x:c r="A183" s="49" t="str">
        <x:v>M06-F009</x:v>
      </x:c>
      <x:c r="B183" s="49" t="str">
        <x:v>M06</x:v>
      </x:c>
      <x:c r="C183" s="49" t="str">
        <x:v>T-WP11</x:v>
      </x:c>
      <x:c r="D183" s="49" t="str">
        <x:v>Thắng</x:v>
      </x:c>
      <x:c r="E183" s="49" t="str">
        <x:v>P2</x:v>
      </x:c>
      <x:c r="F183" s="49" t="str">
        <x:v>KEEP</x:v>
      </x:c>
      <x:c r="G183" s="49" t="str">
        <x:v>Quét lại một mục cũ để xem điểm đã thay đổi chưa</x:v>
      </x:c>
      <x:c r="H183" s="49" t="str">
        <x:v>T10-07</x:v>
      </x:c>
      <x:c r="I183" s="49" t="str">
        <x:v>Thắng</x:v>
      </x:c>
    </x:row>
    <x:row r="184" ht="36" customHeight="1">
      <x:c r="A184" s="49" t="str">
        <x:v>M06-F010</x:v>
      </x:c>
      <x:c r="B184" s="49" t="str">
        <x:v>M06</x:v>
      </x:c>
      <x:c r="C184" s="49" t="str">
        <x:v>T-WP11</x:v>
      </x:c>
      <x:c r="D184" s="49" t="str">
        <x:v>Thắng</x:v>
      </x:c>
      <x:c r="E184" s="49" t="str">
        <x:v>P2</x:v>
      </x:c>
      <x:c r="F184" s="49" t="str">
        <x:v>KEEP</x:v>
      </x:c>
      <x:c r="G184" s="49" t="str">
        <x:v>Xuất lịch sử ra CSV</x:v>
      </x:c>
      <x:c r="H184" s="49" t="str">
        <x:v>T10-08</x:v>
      </x:c>
      <x:c r="I184" s="49" t="str">
        <x:v>Thắng</x:v>
      </x:c>
    </x:row>
    <x:row r="185" ht="36" customHeight="1">
      <x:c r="A185" s="49" t="str">
        <x:v>M06-F011</x:v>
      </x:c>
      <x:c r="B185" s="49" t="str">
        <x:v>M06</x:v>
      </x:c>
      <x:c r="C185" s="49" t="str">
        <x:v>T-WP12</x:v>
      </x:c>
      <x:c r="D185" s="49" t="str">
        <x:v>Thắng</x:v>
      </x:c>
      <x:c r="E185" s="49" t="str">
        <x:v>P1</x:v>
      </x:c>
      <x:c r="F185" s="49" t="str">
        <x:v>KEEP</x:v>
      </x:c>
      <x:c r="G185" s="49" t="str">
        <x:v>Màn hình kết quả rút gọn, nêu 3–5 lý do chính</x:v>
      </x:c>
      <x:c r="H185" s="49" t="str">
        <x:v>T11-06</x:v>
      </x:c>
      <x:c r="I185" s="49" t="str">
        <x:v>Thắng</x:v>
      </x:c>
    </x:row>
    <x:row r="186" ht="36" customHeight="1">
      <x:c r="A186" s="49" t="str">
        <x:v>M06-F012</x:v>
      </x:c>
      <x:c r="B186" s="49" t="str">
        <x:v>M06</x:v>
      </x:c>
      <x:c r="C186" s="49" t="str">
        <x:v>T-WP12</x:v>
      </x:c>
      <x:c r="D186" s="49" t="str">
        <x:v>Thắng</x:v>
      </x:c>
      <x:c r="E186" s="49" t="str">
        <x:v>P0</x:v>
      </x:c>
      <x:c r="F186" s="49" t="str">
        <x:v>KEEP</x:v>
      </x:c>
      <x:c r="G186" s="49" t="str">
        <x:v>Component `RiskResultCard` dùng chung cho mọi loại kết quả quét</x:v>
      </x:c>
      <x:c r="H186" s="49" t="str">
        <x:v>T12-01</x:v>
      </x:c>
      <x:c r="I186" s="49" t="str">
        <x:v>Thắng</x:v>
      </x:c>
    </x:row>
    <x:row r="187" ht="36" customHeight="1">
      <x:c r="A187" s="49" t="str">
        <x:v>M06-F013</x:v>
      </x:c>
      <x:c r="B187" s="49" t="str">
        <x:v>M06</x:v>
      </x:c>
      <x:c r="C187" s="49" t="str">
        <x:v>T-WP12</x:v>
      </x:c>
      <x:c r="D187" s="49" t="str">
        <x:v>Thắng</x:v>
      </x:c>
      <x:c r="E187" s="49" t="str">
        <x:v>P0</x:v>
      </x:c>
      <x:c r="F187" s="49" t="str">
        <x:v>KEEP</x:v>
      </x:c>
      <x:c r="G187" s="49" t="str">
        <x:v>Hiển thị nhất quán: điểm, mức, màu, biểu tượng, danh sách bằng chứng, khuyến nghị</x:v>
      </x:c>
      <x:c r="H187" s="49" t="str">
        <x:v>T12-02</x:v>
      </x:c>
      <x:c r="I187" s="49" t="str">
        <x:v>Thắng</x:v>
      </x:c>
    </x:row>
    <x:row r="188" ht="36" customHeight="1">
      <x:c r="A188" s="49" t="str">
        <x:v>M06-F014</x:v>
      </x:c>
      <x:c r="B188" s="49" t="str">
        <x:v>M06</x:v>
      </x:c>
      <x:c r="C188" s="49" t="str">
        <x:v>T-WP12</x:v>
      </x:c>
      <x:c r="D188" s="49" t="str">
        <x:v>Thắng</x:v>
      </x:c>
      <x:c r="E188" s="49" t="str">
        <x:v>P1</x:v>
      </x:c>
      <x:c r="F188" s="49" t="str">
        <x:v>KEEP</x:v>
      </x:c>
      <x:c r="G188" s="49" t="str">
        <x:v>Thành phần hiển thị bằng chứng có thể mở rộng/thu gọn từng rule</x:v>
      </x:c>
      <x:c r="H188" s="49" t="str">
        <x:v>T12-03</x:v>
      </x:c>
      <x:c r="I188" s="49" t="str">
        <x:v>Thắng</x:v>
      </x:c>
    </x:row>
    <x:row r="189" ht="36" customHeight="1">
      <x:c r="A189" s="49" t="str">
        <x:v>M06-F015</x:v>
      </x:c>
      <x:c r="B189" s="49" t="str">
        <x:v>M06</x:v>
      </x:c>
      <x:c r="C189" s="49" t="str">
        <x:v>T-WP13</x:v>
      </x:c>
      <x:c r="D189" s="49" t="str">
        <x:v>Thắng</x:v>
      </x:c>
      <x:c r="E189" s="49" t="str">
        <x:v>P1</x:v>
      </x:c>
      <x:c r="F189" s="49" t="str">
        <x:v>KEEP</x:v>
      </x:c>
      <x:c r="G189" s="49" t="str">
        <x:v>Chia sẻ kết quả quét qua link công khai có hạn, đã che dữ liệu nhạy cảm</x:v>
      </x:c>
      <x:c r="H189" s="49" t="str">
        <x:v>T12-04</x:v>
      </x:c>
      <x:c r="I189" s="49" t="str">
        <x:v>Thắng</x:v>
      </x:c>
    </x:row>
    <x:row r="190" ht="36" customHeight="1">
      <x:c r="A190" s="49" t="str">
        <x:v>M06-F016</x:v>
      </x:c>
      <x:c r="B190" s="49" t="str">
        <x:v>M06</x:v>
      </x:c>
      <x:c r="C190" s="49" t="str">
        <x:v>T-WP14</x:v>
      </x:c>
      <x:c r="D190" s="49" t="str">
        <x:v>Thắng</x:v>
      </x:c>
      <x:c r="E190" s="49" t="str">
        <x:v>P1</x:v>
      </x:c>
      <x:c r="F190" s="49" t="str">
        <x:v>KEEP</x:v>
      </x:c>
      <x:c r="G190" s="49" t="str">
        <x:v>Xuất kết quả quét ra PDF (worker chạy bất đồng bộ)</x:v>
      </x:c>
      <x:c r="H190" s="49" t="str">
        <x:v>T12-05</x:v>
      </x:c>
      <x:c r="I190" s="49" t="str">
        <x:v>Thắng</x:v>
      </x:c>
    </x:row>
    <x:row r="191" ht="36" customHeight="1">
      <x:c r="A191" s="49" t="str">
        <x:v>M06-F017</x:v>
      </x:c>
      <x:c r="B191" s="49" t="str">
        <x:v>M06</x:v>
      </x:c>
      <x:c r="C191" s="49" t="str">
        <x:v>T-WP13</x:v>
      </x:c>
      <x:c r="D191" s="49" t="str">
        <x:v>Thắng</x:v>
      </x:c>
      <x:c r="E191" s="49" t="str">
        <x:v>P2</x:v>
      </x:c>
      <x:c r="F191" s="49" t="str">
        <x:v>KEEP</x:v>
      </x:c>
      <x:c r="G191" s="49" t="str">
        <x:v>Sinh ảnh tóm tắt kết quả để chia sẻ lên mạng xã hội</x:v>
      </x:c>
      <x:c r="H191" s="49" t="str">
        <x:v>T12-06</x:v>
      </x:c>
      <x:c r="I191" s="49" t="str">
        <x:v>Thắng</x:v>
      </x:c>
    </x:row>
    <x:row r="192" ht="36" customHeight="1">
      <x:c r="A192" s="49" t="str">
        <x:v>M06-F018</x:v>
      </x:c>
      <x:c r="B192" s="49" t="str">
        <x:v>M06</x:v>
      </x:c>
      <x:c r="C192" s="49" t="str">
        <x:v>T-WP13</x:v>
      </x:c>
      <x:c r="D192" s="49" t="str">
        <x:v>Thắng</x:v>
      </x:c>
      <x:c r="E192" s="49" t="str">
        <x:v>P2</x:v>
      </x:c>
      <x:c r="F192" s="49" t="str">
        <x:v>KEEP</x:v>
      </x:c>
      <x:c r="G192" s="49" t="str">
        <x:v>Nhúng widget tra cứu vào website khác</x:v>
      </x:c>
      <x:c r="H192" s="49" t="str">
        <x:v>T12-07</x:v>
      </x:c>
      <x:c r="I192" s="49" t="str">
        <x:v>Thắng</x:v>
      </x:c>
    </x:row>
    <x:row r="193" ht="36" customHeight="1">
      <x:c r="A193" s="49" t="str">
        <x:v>M06-F019</x:v>
      </x:c>
      <x:c r="B193" s="49" t="str">
        <x:v>M06</x:v>
      </x:c>
      <x:c r="C193" s="49" t="str">
        <x:v>T-WP14</x:v>
      </x:c>
      <x:c r="D193" s="49" t="str">
        <x:v>Thắng</x:v>
      </x:c>
      <x:c r="E193" s="49" t="str">
        <x:v>P2</x:v>
      </x:c>
      <x:c r="F193" s="49" t="str">
        <x:v>KEEP</x:v>
      </x:c>
      <x:c r="G193" s="49" t="str">
        <x:v>Xuất báo cáo thống kê theo ngày/tuần/tháng cho admin</x:v>
      </x:c>
      <x:c r="H193" s="49" t="str">
        <x:v>T12-08</x:v>
      </x:c>
      <x:c r="I193" s="49" t="str">
        <x:v>Thắng</x:v>
      </x:c>
    </x:row>
    <x:row r="194" ht="36" customHeight="1">
      <x:c r="A194" s="49" t="str">
        <x:v>M06-F020</x:v>
      </x:c>
      <x:c r="B194" s="49" t="str">
        <x:v>M06</x:v>
      </x:c>
      <x:c r="C194" s="49" t="str">
        <x:v>T-WP12</x:v>
      </x:c>
      <x:c r="D194" s="49" t="str">
        <x:v>Thắng</x:v>
      </x:c>
      <x:c r="E194" s="49" t="str">
        <x:v>P0</x:v>
      </x:c>
      <x:c r="F194" s="49" t="str">
        <x:v>ADD</x:v>
      </x:c>
      <x:c r="G194" s="49" t="str">
        <x:v>Dùng một `RiskResult` contract cho mọi scan type, gồm `riskScore`, `riskLevel`, `degraded`, evidence, explanations, recommendations, `policyVersion`.</x:v>
      </x:c>
      <x:c r="H194" s="49" t="str">
        <x:v>ARCH-10 (Architecture V3.2)</x:v>
      </x:c>
      <x:c r="I194" s="49" t="str">
        <x:v>—</x:v>
      </x:c>
    </x:row>
    <x:row r="195" ht="36" customHeight="1">
      <x:c r="A195" s="49" t="str">
        <x:v>M06-F021</x:v>
      </x:c>
      <x:c r="B195" s="49" t="str">
        <x:v>M06</x:v>
      </x:c>
      <x:c r="C195" s="49" t="str">
        <x:v>T-WP14</x:v>
      </x:c>
      <x:c r="D195" s="49" t="str">
        <x:v>Thắng</x:v>
      </x:c>
      <x:c r="E195" s="49" t="str">
        <x:v>P1</x:v>
      </x:c>
      <x:c r="F195" s="49" t="str">
        <x:v>ADD</x:v>
      </x:c>
      <x:c r="G195" s="49" t="str">
        <x:v>Export PDF/HTML chạy bất đồng bộ qua `q.report.export` / `report.export.requested`, lưu artifact ở MinIO/S3 và không block core scan.</x:v>
      </x:c>
      <x:c r="H195" s="49" t="str">
        <x:v>ARCH-11 (Architecture V3.2)</x:v>
      </x:c>
      <x:c r="I195" s="49" t="str">
        <x:v>—</x:v>
      </x:c>
    </x:row>
    <x:row r="196" ht="36" customHeight="1">
      <x:c r="A196" s="49" t="str">
        <x:v>M07-F001</x:v>
      </x:c>
      <x:c r="B196" s="49" t="str">
        <x:v>M07</x:v>
      </x:c>
      <x:c r="C196" s="49" t="str">
        <x:v>K-WP12</x:v>
      </x:c>
      <x:c r="D196" s="49" t="str">
        <x:v>Khải</x:v>
      </x:c>
      <x:c r="E196" s="49" t="str">
        <x:v>P0</x:v>
      </x:c>
      <x:c r="F196" s="49" t="str">
        <x:v>KEEP</x:v>
      </x:c>
      <x:c r="G196" s="49" t="str">
        <x:v>`POST /v1/reports` với loại thực thể, giá trị, mô tả</x:v>
      </x:c>
      <x:c r="H196" s="49" t="str">
        <x:v>T05-01</x:v>
      </x:c>
      <x:c r="I196" s="49" t="str">
        <x:v>Thắng</x:v>
      </x:c>
    </x:row>
    <x:row r="197" ht="36" customHeight="1">
      <x:c r="A197" s="49" t="str">
        <x:v>M07-F002</x:v>
      </x:c>
      <x:c r="B197" s="49" t="str">
        <x:v>M07</x:v>
      </x:c>
      <x:c r="C197" s="49" t="str">
        <x:v>K-WP12</x:v>
      </x:c>
      <x:c r="D197" s="49" t="str">
        <x:v>Khải</x:v>
      </x:c>
      <x:c r="E197" s="49" t="str">
        <x:v>P0</x:v>
      </x:c>
      <x:c r="F197" s="49" t="str">
        <x:v>KEEP</x:v>
      </x:c>
      <x:c r="G197" s="49" t="str">
        <x:v>Rate limit 10 báo cáo / ngày / user</x:v>
      </x:c>
      <x:c r="H197" s="49" t="str">
        <x:v>T05-02</x:v>
      </x:c>
      <x:c r="I197" s="49" t="str">
        <x:v>Thắng</x:v>
      </x:c>
    </x:row>
    <x:row r="198" ht="36" customHeight="1">
      <x:c r="A198" s="49" t="str">
        <x:v>M07-F003</x:v>
      </x:c>
      <x:c r="B198" s="49" t="str">
        <x:v>M07</x:v>
      </x:c>
      <x:c r="C198" s="49" t="str">
        <x:v>K-WP12</x:v>
      </x:c>
      <x:c r="D198" s="49" t="str">
        <x:v>Khải</x:v>
      </x:c>
      <x:c r="E198" s="49" t="str">
        <x:v>P0</x:v>
      </x:c>
      <x:c r="F198" s="49" t="str">
        <x:v>KEEP</x:v>
      </x:c>
      <x:c r="G198" s="49" t="str">
        <x:v>Nút "Gửi báo cáo" ngay trong trang kết quả quét, điền sẵn dữ liệu</x:v>
      </x:c>
      <x:c r="H198" s="49" t="str">
        <x:v>T05-03</x:v>
      </x:c>
      <x:c r="I198" s="49" t="str">
        <x:v>Thắng</x:v>
      </x:c>
    </x:row>
    <x:row r="199" ht="36" customHeight="1">
      <x:c r="A199" s="49" t="str">
        <x:v>M07-F004</x:v>
      </x:c>
      <x:c r="B199" s="49" t="str">
        <x:v>M07</x:v>
      </x:c>
      <x:c r="C199" s="49" t="str">
        <x:v>K-WP12</x:v>
      </x:c>
      <x:c r="D199" s="49" t="str">
        <x:v>Khải</x:v>
      </x:c>
      <x:c r="E199" s="49" t="str">
        <x:v>P1</x:v>
      </x:c>
      <x:c r="F199" s="49" t="str">
        <x:v>KEEP</x:v>
      </x:c>
      <x:c r="G199" s="49" t="str">
        <x:v>Đính kèm file bằng chứng (ảnh chụp màn hình), giới hạn dung lượng và định dạng</x:v>
      </x:c>
      <x:c r="H199" s="49" t="str">
        <x:v>T05-04</x:v>
      </x:c>
      <x:c r="I199" s="49" t="str">
        <x:v>Thắng</x:v>
      </x:c>
    </x:row>
    <x:row r="200" ht="36" customHeight="1">
      <x:c r="A200" s="49" t="str">
        <x:v>M07-F005</x:v>
      </x:c>
      <x:c r="B200" s="49" t="str">
        <x:v>M07</x:v>
      </x:c>
      <x:c r="C200" s="49" t="str">
        <x:v>K-WP12</x:v>
      </x:c>
      <x:c r="D200" s="49" t="str">
        <x:v>Khải</x:v>
      </x:c>
      <x:c r="E200" s="49" t="str">
        <x:v>P1</x:v>
      </x:c>
      <x:c r="F200" s="49" t="str">
        <x:v>KEEP</x:v>
      </x:c>
      <x:c r="G200" s="49" t="str">
        <x:v>Chọn loại lừa đảo theo taxonomy (R03)</x:v>
      </x:c>
      <x:c r="H200" s="49" t="str">
        <x:v>T05-05</x:v>
      </x:c>
      <x:c r="I200" s="49" t="str">
        <x:v>Thắng</x:v>
      </x:c>
    </x:row>
    <x:row r="201" ht="36" customHeight="1">
      <x:c r="A201" s="49" t="str">
        <x:v>M07-F006</x:v>
      </x:c>
      <x:c r="B201" s="49" t="str">
        <x:v>M07</x:v>
      </x:c>
      <x:c r="C201" s="49" t="str">
        <x:v>K-WP12</x:v>
      </x:c>
      <x:c r="D201" s="49" t="str">
        <x:v>Khải</x:v>
      </x:c>
      <x:c r="E201" s="49" t="str">
        <x:v>P1</x:v>
      </x:c>
      <x:c r="F201" s="49" t="str">
        <x:v>KEEP</x:v>
      </x:c>
      <x:c r="G201" s="49" t="str">
        <x:v>Xem trạng thái các báo cáo mình đã gửi</x:v>
      </x:c>
      <x:c r="H201" s="49" t="str">
        <x:v>T05-06</x:v>
      </x:c>
      <x:c r="I201" s="49" t="str">
        <x:v>Thắng</x:v>
      </x:c>
    </x:row>
    <x:row r="202" ht="36" customHeight="1">
      <x:c r="A202" s="49" t="str">
        <x:v>M07-F007</x:v>
      </x:c>
      <x:c r="B202" s="49" t="str">
        <x:v>M07</x:v>
      </x:c>
      <x:c r="C202" s="49" t="str">
        <x:v>K-WP12</x:v>
      </x:c>
      <x:c r="D202" s="49" t="str">
        <x:v>Khải</x:v>
      </x:c>
      <x:c r="E202" s="49" t="str">
        <x:v>P2</x:v>
      </x:c>
      <x:c r="F202" s="49" t="str">
        <x:v>KEEP</x:v>
      </x:c>
      <x:c r="G202" s="49" t="str">
        <x:v>Báo cáo ẩn danh không cần đăng nhập, có CAPTCHA</x:v>
      </x:c>
      <x:c r="H202" s="49" t="str">
        <x:v>T05-07</x:v>
      </x:c>
      <x:c r="I202" s="49" t="str">
        <x:v>Thắng</x:v>
      </x:c>
    </x:row>
    <x:row r="203" ht="36" customHeight="1">
      <x:c r="A203" s="49" t="str">
        <x:v>M07-F008</x:v>
      </x:c>
      <x:c r="B203" s="49" t="str">
        <x:v>M07</x:v>
      </x:c>
      <x:c r="C203" s="49" t="str">
        <x:v>K-WP12</x:v>
      </x:c>
      <x:c r="D203" s="49" t="str">
        <x:v>Khải</x:v>
      </x:c>
      <x:c r="E203" s="49" t="str">
        <x:v>P2</x:v>
      </x:c>
      <x:c r="F203" s="49" t="str">
        <x:v>KEEP</x:v>
      </x:c>
      <x:c r="G203" s="49" t="str">
        <x:v>Cảnh báo trùng lặp khi entity đã được báo cáo</x:v>
      </x:c>
      <x:c r="H203" s="49" t="str">
        <x:v>T05-08</x:v>
      </x:c>
      <x:c r="I203" s="49" t="str">
        <x:v>Thắng</x:v>
      </x:c>
    </x:row>
    <x:row r="204" ht="36" customHeight="1">
      <x:c r="A204" s="49" t="str">
        <x:v>M07-F009</x:v>
      </x:c>
      <x:c r="B204" s="49" t="str">
        <x:v>M07</x:v>
      </x:c>
      <x:c r="C204" s="49" t="str">
        <x:v>K-WP13</x:v>
      </x:c>
      <x:c r="D204" s="49" t="str">
        <x:v>Khải</x:v>
      </x:c>
      <x:c r="E204" s="49" t="str">
        <x:v>P0</x:v>
      </x:c>
      <x:c r="F204" s="49" t="str">
        <x:v>KEEP</x:v>
      </x:c>
      <x:c r="G204" s="49" t="str">
        <x:v>Trạng thái báo cáo: `PENDING`, `UNDER_REVIEW`, `VERIFIED`, `REJECTED`, `NEED_MORE_INFO`, `RESOLVED`</x:v>
      </x:c>
      <x:c r="H204" s="49" t="str">
        <x:v>T06-01</x:v>
      </x:c>
      <x:c r="I204" s="49" t="str">
        <x:v>Thắng</x:v>
      </x:c>
    </x:row>
    <x:row r="205" ht="36" customHeight="1">
      <x:c r="A205" s="49" t="str">
        <x:v>M07-F010</x:v>
      </x:c>
      <x:c r="B205" s="49" t="str">
        <x:v>M07</x:v>
      </x:c>
      <x:c r="C205" s="49" t="str">
        <x:v>K-WP13</x:v>
      </x:c>
      <x:c r="D205" s="49" t="str">
        <x:v>Khải</x:v>
      </x:c>
      <x:c r="E205" s="49" t="str">
        <x:v>P0</x:v>
      </x:c>
      <x:c r="F205" s="49" t="str">
        <x:v>KEEP</x:v>
      </x:c>
      <x:c r="G205" s="49" t="str">
        <x:v>Hàng đợi duyệt cho admin, sắp xếp theo mức độ và thời gian</x:v>
      </x:c>
      <x:c r="H205" s="49" t="str">
        <x:v>T06-02</x:v>
      </x:c>
      <x:c r="I205" s="49" t="str">
        <x:v>Thắng</x:v>
      </x:c>
    </x:row>
    <x:row r="206" ht="36" customHeight="1">
      <x:c r="A206" s="49" t="str">
        <x:v>M07-F011</x:v>
      </x:c>
      <x:c r="B206" s="49" t="str">
        <x:v>M07</x:v>
      </x:c>
      <x:c r="C206" s="49" t="str">
        <x:v>K-WP13</x:v>
      </x:c>
      <x:c r="D206" s="49" t="str">
        <x:v>Khải</x:v>
      </x:c>
      <x:c r="E206" s="49" t="str">
        <x:v>P0</x:v>
      </x:c>
      <x:c r="F206" s="49" t="str">
        <x:v>KEEP</x:v>
      </x:c>
      <x:c r="G206" s="49" t="str">
        <x:v>Duyệt báo cáo → tạo/cập nhật `risk_entities`</x:v>
      </x:c>
      <x:c r="H206" s="49" t="str">
        <x:v>T06-03</x:v>
      </x:c>
      <x:c r="I206" s="49" t="str">
        <x:v>Thắng</x:v>
      </x:c>
    </x:row>
    <x:row r="207" ht="36" customHeight="1">
      <x:c r="A207" s="49" t="str">
        <x:v>M07-F012</x:v>
      </x:c>
      <x:c r="B207" s="49" t="str">
        <x:v>M07</x:v>
      </x:c>
      <x:c r="C207" s="49" t="str">
        <x:v>K-WP13</x:v>
      </x:c>
      <x:c r="D207" s="49" t="str">
        <x:v>Khải</x:v>
      </x:c>
      <x:c r="E207" s="49" t="str">
        <x:v>P0</x:v>
      </x:c>
      <x:c r="F207" s="49" t="str">
        <x:v>KEEP</x:v>
      </x:c>
      <x:c r="G207" s="49" t="str">
        <x:v>Ghi audit log mọi thao tác duyệt</x:v>
      </x:c>
      <x:c r="H207" s="49" t="str">
        <x:v>T06-04</x:v>
      </x:c>
      <x:c r="I207" s="49" t="str">
        <x:v>Thắng</x:v>
      </x:c>
    </x:row>
    <x:row r="208" ht="36" customHeight="1">
      <x:c r="A208" s="49" t="str">
        <x:v>M07-F013</x:v>
      </x:c>
      <x:c r="B208" s="49" t="str">
        <x:v>M07</x:v>
      </x:c>
      <x:c r="C208" s="49" t="str">
        <x:v>K-WP13</x:v>
      </x:c>
      <x:c r="D208" s="49" t="str">
        <x:v>Khải</x:v>
      </x:c>
      <x:c r="E208" s="49" t="str">
        <x:v>P1</x:v>
      </x:c>
      <x:c r="F208" s="49" t="str">
        <x:v>KEEP</x:v>
      </x:c>
      <x:c r="G208" s="49" t="str">
        <x:v>Xem chi tiết báo cáo kèm bằng chứng và kết quả quét liên quan</x:v>
      </x:c>
      <x:c r="H208" s="49" t="str">
        <x:v>T06-05</x:v>
      </x:c>
      <x:c r="I208" s="49" t="str">
        <x:v>Thắng</x:v>
      </x:c>
    </x:row>
    <x:row r="209" ht="36" customHeight="1">
      <x:c r="A209" s="49" t="str">
        <x:v>M07-F014</x:v>
      </x:c>
      <x:c r="B209" s="49" t="str">
        <x:v>M07</x:v>
      </x:c>
      <x:c r="C209" s="49" t="str">
        <x:v>K-WP13</x:v>
      </x:c>
      <x:c r="D209" s="49" t="str">
        <x:v>Khải</x:v>
      </x:c>
      <x:c r="E209" s="49" t="str">
        <x:v>P1</x:v>
      </x:c>
      <x:c r="F209" s="49" t="str">
        <x:v>KEEP</x:v>
      </x:c>
      <x:c r="G209" s="49" t="str">
        <x:v>Duyệt hàng loạt các báo cáo cùng một entity</x:v>
      </x:c>
      <x:c r="H209" s="49" t="str">
        <x:v>T06-06</x:v>
      </x:c>
      <x:c r="I209" s="49" t="str">
        <x:v>Thắng</x:v>
      </x:c>
    </x:row>
    <x:row r="210" ht="36" customHeight="1">
      <x:c r="A210" s="49" t="str">
        <x:v>M07-F015</x:v>
      </x:c>
      <x:c r="B210" s="49" t="str">
        <x:v>M07</x:v>
      </x:c>
      <x:c r="C210" s="49" t="str">
        <x:v>K-WP13</x:v>
      </x:c>
      <x:c r="D210" s="49" t="str">
        <x:v>Khải</x:v>
      </x:c>
      <x:c r="E210" s="49" t="str">
        <x:v>P1</x:v>
      </x:c>
      <x:c r="F210" s="49" t="str">
        <x:v>KEEP</x:v>
      </x:c>
      <x:c r="G210" s="49" t="str">
        <x:v>Ghi lý do khi từ chối, gửi thông báo cho người báo cáo</x:v>
      </x:c>
      <x:c r="H210" s="49" t="str">
        <x:v>T06-07</x:v>
      </x:c>
      <x:c r="I210" s="49" t="str">
        <x:v>Thắng</x:v>
      </x:c>
    </x:row>
    <x:row r="211" ht="36" customHeight="1">
      <x:c r="A211" s="49" t="str">
        <x:v>M07-F016</x:v>
      </x:c>
      <x:c r="B211" s="49" t="str">
        <x:v>M07</x:v>
      </x:c>
      <x:c r="C211" s="49" t="str">
        <x:v>K-WP13</x:v>
      </x:c>
      <x:c r="D211" s="49" t="str">
        <x:v>Khải</x:v>
      </x:c>
      <x:c r="E211" s="49" t="str">
        <x:v>P2</x:v>
      </x:c>
      <x:c r="F211" s="49" t="str">
        <x:v>KEEP</x:v>
      </x:c>
      <x:c r="G211" s="49" t="str">
        <x:v>Tự động ưu tiên báo cáo từ người có uy tín cao</x:v>
      </x:c>
      <x:c r="H211" s="49" t="str">
        <x:v>T06-08</x:v>
      </x:c>
      <x:c r="I211" s="49" t="str">
        <x:v>Thắng</x:v>
      </x:c>
    </x:row>
    <x:row r="212" ht="36" customHeight="1">
      <x:c r="A212" s="49" t="str">
        <x:v>M07-F017</x:v>
      </x:c>
      <x:c r="B212" s="49" t="str">
        <x:v>M07</x:v>
      </x:c>
      <x:c r="C212" s="49" t="str">
        <x:v>K-WP13</x:v>
      </x:c>
      <x:c r="D212" s="49" t="str">
        <x:v>Khải</x:v>
      </x:c>
      <x:c r="E212" s="49" t="str">
        <x:v>P2</x:v>
      </x:c>
      <x:c r="F212" s="49" t="str">
        <x:v>KEEP</x:v>
      </x:c>
      <x:c r="G212" s="49" t="str">
        <x:v>Phân công báo cáo cho từng moderator</x:v>
      </x:c>
      <x:c r="H212" s="49" t="str">
        <x:v>T06-09</x:v>
      </x:c>
      <x:c r="I212" s="49" t="str">
        <x:v>Thắng</x:v>
      </x:c>
    </x:row>
    <x:row r="213" ht="36" customHeight="1">
      <x:c r="A213" s="49" t="str">
        <x:v>M07-F018</x:v>
      </x:c>
      <x:c r="B213" s="49" t="str">
        <x:v>M07</x:v>
      </x:c>
      <x:c r="C213" s="49" t="str">
        <x:v>K-WP14</x:v>
      </x:c>
      <x:c r="D213" s="49" t="str">
        <x:v>Khải</x:v>
      </x:c>
      <x:c r="E213" s="49" t="str">
        <x:v>P1</x:v>
      </x:c>
      <x:c r="F213" s="49" t="str">
        <x:v>KEEP</x:v>
      </x:c>
      <x:c r="G213" s="49" t="str">
        <x:v>Tính điểm uy tín dựa trên tỷ lệ báo cáo được duyệt</x:v>
      </x:c>
      <x:c r="H213" s="49" t="str">
        <x:v>T07-01</x:v>
      </x:c>
      <x:c r="I213" s="49" t="str">
        <x:v>Thắng</x:v>
      </x:c>
    </x:row>
    <x:row r="214" ht="36" customHeight="1">
      <x:c r="A214" s="49" t="str">
        <x:v>M07-F019</x:v>
      </x:c>
      <x:c r="B214" s="49" t="str">
        <x:v>M07</x:v>
      </x:c>
      <x:c r="C214" s="49" t="str">
        <x:v>K-WP14</x:v>
      </x:c>
      <x:c r="D214" s="49" t="str">
        <x:v>Khải</x:v>
      </x:c>
      <x:c r="E214" s="49" t="str">
        <x:v>P1</x:v>
      </x:c>
      <x:c r="F214" s="49" t="str">
        <x:v>KEEP</x:v>
      </x:c>
      <x:c r="G214" s="49" t="str">
        <x:v>Hạ uy tín khi báo cáo bị từ chối nhiều lần</x:v>
      </x:c>
      <x:c r="H214" s="49" t="str">
        <x:v>T07-02</x:v>
      </x:c>
      <x:c r="I214" s="49" t="str">
        <x:v>Thắng</x:v>
      </x:c>
    </x:row>
    <x:row r="215" ht="36" customHeight="1">
      <x:c r="A215" s="49" t="str">
        <x:v>M07-F020</x:v>
      </x:c>
      <x:c r="B215" s="49" t="str">
        <x:v>M07</x:v>
      </x:c>
      <x:c r="C215" s="49" t="str">
        <x:v>K-WP14</x:v>
      </x:c>
      <x:c r="D215" s="49" t="str">
        <x:v>Khải</x:v>
      </x:c>
      <x:c r="E215" s="49" t="str">
        <x:v>P1</x:v>
      </x:c>
      <x:c r="F215" s="49" t="str">
        <x:v>KEEP</x:v>
      </x:c>
      <x:c r="G215" s="49" t="str">
        <x:v>Phát hiện báo cáo trùng lặp và báo cáo hàng loạt bất thường</x:v>
      </x:c>
      <x:c r="H215" s="49" t="str">
        <x:v>T07-03</x:v>
      </x:c>
      <x:c r="I215" s="49" t="str">
        <x:v>Thắng</x:v>
      </x:c>
    </x:row>
    <x:row r="216" ht="36" customHeight="1">
      <x:c r="A216" s="49" t="str">
        <x:v>M07-F021</x:v>
      </x:c>
      <x:c r="B216" s="49" t="str">
        <x:v>M07</x:v>
      </x:c>
      <x:c r="C216" s="49" t="str">
        <x:v>K-WP14</x:v>
      </x:c>
      <x:c r="D216" s="49" t="str">
        <x:v>Khải</x:v>
      </x:c>
      <x:c r="E216" s="49" t="str">
        <x:v>P2</x:v>
      </x:c>
      <x:c r="F216" s="49" t="str">
        <x:v>KEEP</x:v>
      </x:c>
      <x:c r="G216" s="49" t="str">
        <x:v>Người uy tín cao được duyệt nhanh hoặc tự động duyệt</x:v>
      </x:c>
      <x:c r="H216" s="49" t="str">
        <x:v>T07-04</x:v>
      </x:c>
      <x:c r="I216" s="49" t="str">
        <x:v>Thắng</x:v>
      </x:c>
    </x:row>
    <x:row r="217" ht="36" customHeight="1">
      <x:c r="A217" s="49" t="str">
        <x:v>M07-F022</x:v>
      </x:c>
      <x:c r="B217" s="49" t="str">
        <x:v>M07</x:v>
      </x:c>
      <x:c r="C217" s="49" t="str">
        <x:v>K-WP14</x:v>
      </x:c>
      <x:c r="D217" s="49" t="str">
        <x:v>Khải</x:v>
      </x:c>
      <x:c r="E217" s="49" t="str">
        <x:v>P2</x:v>
      </x:c>
      <x:c r="F217" s="49" t="str">
        <x:v>KEEP</x:v>
      </x:c>
      <x:c r="G217" s="49" t="str">
        <x:v>Tạm khoá quyền báo cáo khi uy tín xuống dưới ngưỡng</x:v>
      </x:c>
      <x:c r="H217" s="49" t="str">
        <x:v>T07-05</x:v>
      </x:c>
      <x:c r="I217" s="49" t="str">
        <x:v>Thắng</x:v>
      </x:c>
    </x:row>
    <x:row r="218" ht="36" customHeight="1">
      <x:c r="A218" s="49" t="str">
        <x:v>M07-F023</x:v>
      </x:c>
      <x:c r="B218" s="49" t="str">
        <x:v>M07</x:v>
      </x:c>
      <x:c r="C218" s="49" t="str">
        <x:v>K-WP14</x:v>
      </x:c>
      <x:c r="D218" s="49" t="str">
        <x:v>Khải</x:v>
      </x:c>
      <x:c r="E218" s="49" t="str">
        <x:v>P2</x:v>
      </x:c>
      <x:c r="F218" s="49" t="str">
        <x:v>KEEP</x:v>
      </x:c>
      <x:c r="G218" s="49" t="str">
        <x:v>Huy hiệu người đóng góp tích cực</x:v>
      </x:c>
      <x:c r="H218" s="49" t="str">
        <x:v>T07-06</x:v>
      </x:c>
      <x:c r="I218" s="49" t="str">
        <x:v>Thắng</x:v>
      </x:c>
    </x:row>
    <x:row r="219" ht="36" customHeight="1">
      <x:c r="A219" s="49" t="str">
        <x:v>M07-F024</x:v>
      </x:c>
      <x:c r="B219" s="49" t="str">
        <x:v>M07</x:v>
      </x:c>
      <x:c r="C219" s="49" t="str">
        <x:v>K-WP14</x:v>
      </x:c>
      <x:c r="D219" s="49" t="str">
        <x:v>Khải</x:v>
      </x:c>
      <x:c r="E219" s="49" t="str">
        <x:v>P2</x:v>
      </x:c>
      <x:c r="F219" s="49" t="str">
        <x:v>KEEP</x:v>
      </x:c>
      <x:c r="G219" s="49" t="str">
        <x:v>Phát hiện nhóm tài khoản phối hợp báo cáo sai sự thật</x:v>
      </x:c>
      <x:c r="H219" s="49" t="str">
        <x:v>T07-07</x:v>
      </x:c>
      <x:c r="I219" s="49" t="str">
        <x:v>Thắng</x:v>
      </x:c>
    </x:row>
    <x:row r="220" ht="36" customHeight="1">
      <x:c r="A220" s="49" t="str">
        <x:v>M07-F025</x:v>
      </x:c>
      <x:c r="B220" s="49" t="str">
        <x:v>M07</x:v>
      </x:c>
      <x:c r="C220" s="49" t="str">
        <x:v>K-WP15</x:v>
      </x:c>
      <x:c r="D220" s="49" t="str">
        <x:v>Khải</x:v>
      </x:c>
      <x:c r="E220" s="49" t="str">
        <x:v>P0</x:v>
      </x:c>
      <x:c r="F220" s="49" t="str">
        <x:v>ADD</x:v>
      </x:c>
      <x:c r="G220" s="49" t="str">
        <x:v>Community Report lifecycle thống nhất `PENDING -&gt; UNDER_REVIEW -&gt; VERIFIED \| REJECTED`; review phải trace reviewer/time/reason.</x:v>
      </x:c>
      <x:c r="H220" s="49" t="str">
        <x:v>ARCH-12 (Architecture V3.2)</x:v>
      </x:c>
      <x:c r="I220" s="49" t="str">
        <x:v>—</x:v>
      </x:c>
    </x:row>
    <x:row r="221" ht="36" customHeight="1">
      <x:c r="A221" s="49" t="str">
        <x:v>M07-F026</x:v>
      </x:c>
      <x:c r="B221" s="49" t="str">
        <x:v>M07</x:v>
      </x:c>
      <x:c r="C221" s="49" t="str">
        <x:v>K-WP15</x:v>
      </x:c>
      <x:c r="D221" s="49" t="str">
        <x:v>Khải</x:v>
      </x:c>
      <x:c r="E221" s="49" t="str">
        <x:v>P0</x:v>
      </x:c>
      <x:c r="F221" s="49" t="str">
        <x:v>ADD</x:v>
      </x:c>
      <x:c r="G221" s="49" t="str">
        <x:v>Chỉ report `VERIFIED` đủ trust/policy mới được chuyển thành reputation/threat signal; unverified report không tạo hard blacklist.</x:v>
      </x:c>
      <x:c r="H221" s="49" t="str">
        <x:v>ARCH-13 (Architecture V3.2)</x:v>
      </x:c>
      <x:c r="I221" s="49" t="str">
        <x:v>—</x:v>
      </x:c>
    </x:row>
    <x:row r="222" ht="36" customHeight="1">
      <x:c r="A222" s="49" t="str">
        <x:v>M08-F001</x:v>
      </x:c>
      <x:c r="B222" s="49" t="str">
        <x:v>M08</x:v>
      </x:c>
      <x:c r="C222" s="49" t="str">
        <x:v>I-WP01</x:v>
      </x:c>
      <x:c r="D222" s="49" t="str">
        <x:v>Kiên</x:v>
      </x:c>
      <x:c r="E222" s="49" t="str">
        <x:v>P1</x:v>
      </x:c>
      <x:c r="F222" s="49" t="str">
        <x:v>KEEP</x:v>
      </x:c>
      <x:c r="G222" s="49" t="str">
        <x:v>Nhập danh sách đen từ file CSV/JSON</x:v>
      </x:c>
      <x:c r="H222" s="49" t="str">
        <x:v>K07-01</x:v>
      </x:c>
      <x:c r="I222" s="49" t="str">
        <x:v>Khải</x:v>
      </x:c>
    </x:row>
    <x:row r="223" ht="36" customHeight="1">
      <x:c r="A223" s="49" t="str">
        <x:v>M08-F002</x:v>
      </x:c>
      <x:c r="B223" s="49" t="str">
        <x:v>M08</x:v>
      </x:c>
      <x:c r="C223" s="49" t="str">
        <x:v>I-WP01</x:v>
      </x:c>
      <x:c r="D223" s="49" t="str">
        <x:v>Kiên</x:v>
      </x:c>
      <x:c r="E223" s="49" t="str">
        <x:v>P1</x:v>
      </x:c>
      <x:c r="F223" s="49" t="str">
        <x:v>KEEP</x:v>
      </x:c>
      <x:c r="G223" s="49" t="str">
        <x:v>Tích hợp nguồn công khai (PhishTank, OpenPhish, danh sách của ChongLuaDao)</x:v>
      </x:c>
      <x:c r="H223" s="49" t="str">
        <x:v>K07-02</x:v>
      </x:c>
      <x:c r="I223" s="49" t="str">
        <x:v>Khải</x:v>
      </x:c>
    </x:row>
    <x:row r="224" ht="36" customHeight="1">
      <x:c r="A224" s="49" t="str">
        <x:v>M08-F003</x:v>
      </x:c>
      <x:c r="B224" s="49" t="str">
        <x:v>M08</x:v>
      </x:c>
      <x:c r="C224" s="49" t="str">
        <x:v>I-WP01</x:v>
      </x:c>
      <x:c r="D224" s="49" t="str">
        <x:v>Kiên</x:v>
      </x:c>
      <x:c r="E224" s="49" t="str">
        <x:v>P1</x:v>
      </x:c>
      <x:c r="F224" s="49" t="str">
        <x:v>KEEP</x:v>
      </x:c>
      <x:c r="G224" s="49" t="str">
        <x:v>Lập lịch cập nhật định kỳ, ghi phiên bản dataset vào `risk_sources`</x:v>
      </x:c>
      <x:c r="H224" s="49" t="str">
        <x:v>K07-03</x:v>
      </x:c>
      <x:c r="I224" s="49" t="str">
        <x:v>Khải</x:v>
      </x:c>
    </x:row>
    <x:row r="225" ht="36" customHeight="1">
      <x:c r="A225" s="49" t="str">
        <x:v>M08-F004</x:v>
      </x:c>
      <x:c r="B225" s="49" t="str">
        <x:v>M08</x:v>
      </x:c>
      <x:c r="C225" s="49" t="str">
        <x:v>I-WP01</x:v>
      </x:c>
      <x:c r="D225" s="49" t="str">
        <x:v>Kiên</x:v>
      </x:c>
      <x:c r="E225" s="49" t="str">
        <x:v>P1</x:v>
      </x:c>
      <x:c r="F225" s="49" t="str">
        <x:v>KEEP</x:v>
      </x:c>
      <x:c r="G225" s="49" t="str">
        <x:v>Khử trùng lặp và hợp nhất khi nhiều nguồn cùng báo một tên miền</x:v>
      </x:c>
      <x:c r="H225" s="49" t="str">
        <x:v>K07-04</x:v>
      </x:c>
      <x:c r="I225" s="49" t="str">
        <x:v>Khải</x:v>
      </x:c>
    </x:row>
    <x:row r="226" ht="36" customHeight="1">
      <x:c r="A226" s="49" t="str">
        <x:v>M08-F005</x:v>
      </x:c>
      <x:c r="B226" s="49" t="str">
        <x:v>M08</x:v>
      </x:c>
      <x:c r="C226" s="49" t="str">
        <x:v>I-WP01</x:v>
      </x:c>
      <x:c r="D226" s="49" t="str">
        <x:v>Kiên</x:v>
      </x:c>
      <x:c r="E226" s="49" t="str">
        <x:v>P2</x:v>
      </x:c>
      <x:c r="F226" s="49" t="str">
        <x:v>KEEP</x:v>
      </x:c>
      <x:c r="G226" s="49" t="str">
        <x:v>Ghi nguồn gốc và độ tin cậy cho từng bản ghi</x:v>
      </x:c>
      <x:c r="H226" s="49" t="str">
        <x:v>K07-05</x:v>
      </x:c>
      <x:c r="I226" s="49" t="str">
        <x:v>Khải</x:v>
      </x:c>
    </x:row>
    <x:row r="227" ht="36" customHeight="1">
      <x:c r="A227" s="49" t="str">
        <x:v>M08-F006</x:v>
      </x:c>
      <x:c r="B227" s="49" t="str">
        <x:v>M08</x:v>
      </x:c>
      <x:c r="C227" s="49" t="str">
        <x:v>I-WP01</x:v>
      </x:c>
      <x:c r="D227" s="49" t="str">
        <x:v>Kiên</x:v>
      </x:c>
      <x:c r="E227" s="49" t="str">
        <x:v>P2</x:v>
      </x:c>
      <x:c r="F227" s="49" t="str">
        <x:v>KEEP</x:v>
      </x:c>
      <x:c r="G227" s="49" t="str">
        <x:v>Cho phép quay lại phiên bản dataset trước khi nạp sai</x:v>
      </x:c>
      <x:c r="H227" s="49" t="str">
        <x:v>K07-06</x:v>
      </x:c>
      <x:c r="I227" s="49" t="str">
        <x:v>Khải</x:v>
      </x:c>
    </x:row>
    <x:row r="228" ht="36" customHeight="1">
      <x:c r="A228" s="49" t="str">
        <x:v>M08-F007</x:v>
      </x:c>
      <x:c r="B228" s="49" t="str">
        <x:v>M08</x:v>
      </x:c>
      <x:c r="C228" s="49" t="str">
        <x:v>I-WP01</x:v>
      </x:c>
      <x:c r="D228" s="49" t="str">
        <x:v>Kiên</x:v>
      </x:c>
      <x:c r="E228" s="49" t="str">
        <x:v>P2</x:v>
      </x:c>
      <x:c r="F228" s="49" t="str">
        <x:v>KEEP</x:v>
      </x:c>
      <x:c r="G228" s="49" t="str">
        <x:v>Xuất ngược danh sách của hệ thống cho cộng đồng dùng</x:v>
      </x:c>
      <x:c r="H228" s="49" t="str">
        <x:v>K07-07</x:v>
      </x:c>
      <x:c r="I228" s="49" t="str">
        <x:v>Khải</x:v>
      </x:c>
    </x:row>
    <x:row r="229" ht="36" customHeight="1">
      <x:c r="A229" s="49" t="str">
        <x:v>M08-F008</x:v>
      </x:c>
      <x:c r="B229" s="49" t="str">
        <x:v>M08</x:v>
      </x:c>
      <x:c r="C229" s="49" t="str">
        <x:v>I-WP02</x:v>
      </x:c>
      <x:c r="D229" s="49" t="str">
        <x:v>Kiên</x:v>
      </x:c>
      <x:c r="E229" s="49" t="str">
        <x:v>P0</x:v>
      </x:c>
      <x:c r="F229" s="49" t="str">
        <x:v>KEEP</x:v>
      </x:c>
      <x:c r="G229" s="49" t="str">
        <x:v>Danh sách trắng tên miền tin cậy để giảm báo động giả</x:v>
      </x:c>
      <x:c r="H229" s="49" t="str">
        <x:v>K08-01</x:v>
      </x:c>
      <x:c r="I229" s="49" t="str">
        <x:v>Khải</x:v>
      </x:c>
    </x:row>
    <x:row r="230" ht="36" customHeight="1">
      <x:c r="A230" s="49" t="str">
        <x:v>M08-F009</x:v>
      </x:c>
      <x:c r="B230" s="49" t="str">
        <x:v>M08</x:v>
      </x:c>
      <x:c r="C230" s="49" t="str">
        <x:v>I-WP02</x:v>
      </x:c>
      <x:c r="D230" s="49" t="str">
        <x:v>Kiên</x:v>
      </x:c>
      <x:c r="E230" s="49" t="str">
        <x:v>P0</x:v>
      </x:c>
      <x:c r="F230" s="49" t="str">
        <x:v>KEEP</x:v>
      </x:c>
      <x:c r="G230" s="49" t="str">
        <x:v>Danh sách đen tên miền đã xác minh là lừa đảo</x:v>
      </x:c>
      <x:c r="H230" s="49" t="str">
        <x:v>K08-02</x:v>
      </x:c>
      <x:c r="I230" s="49" t="str">
        <x:v>Khải</x:v>
      </x:c>
    </x:row>
    <x:row r="231" ht="36" customHeight="1">
      <x:c r="A231" s="49" t="str">
        <x:v>M08-F010</x:v>
      </x:c>
      <x:c r="B231" s="49" t="str">
        <x:v>M08</x:v>
      </x:c>
      <x:c r="C231" s="49" t="str">
        <x:v>I-WP02</x:v>
      </x:c>
      <x:c r="D231" s="49" t="str">
        <x:v>Kiên</x:v>
      </x:c>
      <x:c r="E231" s="49" t="str">
        <x:v>P1</x:v>
      </x:c>
      <x:c r="F231" s="49" t="str">
        <x:v>KEEP</x:v>
      </x:c>
      <x:c r="G231" s="49" t="str">
        <x:v>Trang admin quản lý: thêm, sửa, xoá, tìm kiếm, phân trang</x:v>
      </x:c>
      <x:c r="H231" s="49" t="str">
        <x:v>K08-03</x:v>
      </x:c>
      <x:c r="I231" s="49" t="str">
        <x:v>Khải</x:v>
      </x:c>
    </x:row>
    <x:row r="232" ht="36" customHeight="1">
      <x:c r="A232" s="49" t="str">
        <x:v>M08-F011</x:v>
      </x:c>
      <x:c r="B232" s="49" t="str">
        <x:v>M08</x:v>
      </x:c>
      <x:c r="C232" s="49" t="str">
        <x:v>I-WP02</x:v>
      </x:c>
      <x:c r="D232" s="49" t="str">
        <x:v>Kiên</x:v>
      </x:c>
      <x:c r="E232" s="49" t="str">
        <x:v>P1</x:v>
      </x:c>
      <x:c r="F232" s="49" t="str">
        <x:v>KEEP</x:v>
      </x:c>
      <x:c r="G232" s="49" t="str">
        <x:v>Nhập hàng loạt từ file, kèm xem trước trước khi áp dụng</x:v>
      </x:c>
      <x:c r="H232" s="49" t="str">
        <x:v>K08-04</x:v>
      </x:c>
      <x:c r="I232" s="49" t="str">
        <x:v>Khải</x:v>
      </x:c>
    </x:row>
    <x:row r="233" ht="36" customHeight="1">
      <x:c r="A233" s="49" t="str">
        <x:v>M08-F012</x:v>
      </x:c>
      <x:c r="B233" s="49" t="str">
        <x:v>M08</x:v>
      </x:c>
      <x:c r="C233" s="49" t="str">
        <x:v>I-WP02</x:v>
      </x:c>
      <x:c r="D233" s="49" t="str">
        <x:v>Kiên</x:v>
      </x:c>
      <x:c r="E233" s="49" t="str">
        <x:v>P1</x:v>
      </x:c>
      <x:c r="F233" s="49" t="str">
        <x:v>KEEP</x:v>
      </x:c>
      <x:c r="G233" s="49" t="str">
        <x:v>Vô hiệu hoá cache Redis khi danh sách thay đổi</x:v>
      </x:c>
      <x:c r="H233" s="49" t="str">
        <x:v>K08-05</x:v>
      </x:c>
      <x:c r="I233" s="49" t="str">
        <x:v>Khải</x:v>
      </x:c>
    </x:row>
    <x:row r="234" ht="36" customHeight="1">
      <x:c r="A234" s="49" t="str">
        <x:v>M08-F013</x:v>
      </x:c>
      <x:c r="B234" s="49" t="str">
        <x:v>M08</x:v>
      </x:c>
      <x:c r="C234" s="49" t="str">
        <x:v>I-WP02</x:v>
      </x:c>
      <x:c r="D234" s="49" t="str">
        <x:v>Kiên</x:v>
      </x:c>
      <x:c r="E234" s="49" t="str">
        <x:v>P1</x:v>
      </x:c>
      <x:c r="F234" s="49" t="str">
        <x:v>KEEP</x:v>
      </x:c>
      <x:c r="G234" s="49" t="str">
        <x:v>Ghi audit log mọi thay đổi danh sách</x:v>
      </x:c>
      <x:c r="H234" s="49" t="str">
        <x:v>K08-06</x:v>
      </x:c>
      <x:c r="I234" s="49" t="str">
        <x:v>Khải</x:v>
      </x:c>
    </x:row>
    <x:row r="235" ht="36" customHeight="1">
      <x:c r="A235" s="49" t="str">
        <x:v>M08-F014</x:v>
      </x:c>
      <x:c r="B235" s="49" t="str">
        <x:v>M08</x:v>
      </x:c>
      <x:c r="C235" s="49" t="str">
        <x:v>I-WP02</x:v>
      </x:c>
      <x:c r="D235" s="49" t="str">
        <x:v>Kiên</x:v>
      </x:c>
      <x:c r="E235" s="49" t="str">
        <x:v>P2</x:v>
      </x:c>
      <x:c r="F235" s="49" t="str">
        <x:v>KEEP</x:v>
      </x:c>
      <x:c r="G235" s="49" t="str">
        <x:v>Đặt hạn hiệu lực cho từng bản ghi</x:v>
      </x:c>
      <x:c r="H235" s="49" t="str">
        <x:v>K08-07</x:v>
      </x:c>
      <x:c r="I235" s="49" t="str">
        <x:v>Khải</x:v>
      </x:c>
    </x:row>
    <x:row r="236" ht="36" customHeight="1">
      <x:c r="A236" s="49" t="str">
        <x:v>M08-F015</x:v>
      </x:c>
      <x:c r="B236" s="49" t="str">
        <x:v>M08</x:v>
      </x:c>
      <x:c r="C236" s="49" t="str">
        <x:v>I-WP02</x:v>
      </x:c>
      <x:c r="D236" s="49" t="str">
        <x:v>Kiên</x:v>
      </x:c>
      <x:c r="E236" s="49" t="str">
        <x:v>P2</x:v>
      </x:c>
      <x:c r="F236" s="49" t="str">
        <x:v>KEEP</x:v>
      </x:c>
      <x:c r="G236" s="49" t="str">
        <x:v>Quy trình khiếu nại gỡ khỏi danh sách đen</x:v>
      </x:c>
      <x:c r="H236" s="49" t="str">
        <x:v>K08-08</x:v>
      </x:c>
      <x:c r="I236" s="49" t="str">
        <x:v>Khải</x:v>
      </x:c>
    </x:row>
    <x:row r="237" ht="36" customHeight="1">
      <x:c r="A237" s="49" t="str">
        <x:v>M08-F016</x:v>
      </x:c>
      <x:c r="B237" s="49" t="str">
        <x:v>M08</x:v>
      </x:c>
      <x:c r="C237" s="49" t="str">
        <x:v>I-WP03</x:v>
      </x:c>
      <x:c r="D237" s="49" t="str">
        <x:v>Kiên</x:v>
      </x:c>
      <x:c r="E237" s="49" t="str">
        <x:v>P0</x:v>
      </x:c>
      <x:c r="F237" s="49" t="str">
        <x:v>KEEP</x:v>
      </x:c>
      <x:c r="G237" s="49" t="str">
        <x:v>Bảng `risk_entities` cho tên miền, URL, số điện thoại, số tài khoản, từ khoá, thương hiệu</x:v>
      </x:c>
      <x:c r="H237" s="49" t="str">
        <x:v>T04-01</x:v>
      </x:c>
      <x:c r="I237" s="49" t="str">
        <x:v>Thắng</x:v>
      </x:c>
    </x:row>
    <x:row r="238" ht="36" customHeight="1">
      <x:c r="A238" s="49" t="str">
        <x:v>M08-F017</x:v>
      </x:c>
      <x:c r="B238" s="49" t="str">
        <x:v>M08</x:v>
      </x:c>
      <x:c r="C238" s="49" t="str">
        <x:v>I-WP03</x:v>
      </x:c>
      <x:c r="D238" s="49" t="str">
        <x:v>Kiên</x:v>
      </x:c>
      <x:c r="E238" s="49" t="str">
        <x:v>P0</x:v>
      </x:c>
      <x:c r="F238" s="49" t="str">
        <x:v>KEEP</x:v>
      </x:c>
      <x:c r="G238" s="49" t="str">
        <x:v>Trạng thái: `SUSPECTED`, `VERIFIED`, `CLEARED`</x:v>
      </x:c>
      <x:c r="H238" s="49" t="str">
        <x:v>T04-02</x:v>
      </x:c>
      <x:c r="I238" s="49" t="str">
        <x:v>Thắng</x:v>
      </x:c>
    </x:row>
    <x:row r="239" ht="36" customHeight="1">
      <x:c r="A239" s="49" t="str">
        <x:v>M08-F018</x:v>
      </x:c>
      <x:c r="B239" s="49" t="str">
        <x:v>M08</x:v>
      </x:c>
      <x:c r="C239" s="49" t="str">
        <x:v>I-WP03</x:v>
      </x:c>
      <x:c r="D239" s="49" t="str">
        <x:v>Kiên</x:v>
      </x:c>
      <x:c r="E239" s="49" t="str">
        <x:v>P0</x:v>
      </x:c>
      <x:c r="F239" s="49" t="str">
        <x:v>KEEP</x:v>
      </x:c>
      <x:c r="G239" s="49" t="str">
        <x:v>Tạo/cập nhật entity khi một báo cáo được duyệt</x:v>
      </x:c>
      <x:c r="H239" s="49" t="str">
        <x:v>T04-03</x:v>
      </x:c>
      <x:c r="I239" s="49" t="str">
        <x:v>Thắng</x:v>
      </x:c>
    </x:row>
    <x:row r="240" ht="36" customHeight="1">
      <x:c r="A240" s="49" t="str">
        <x:v>M08-F019</x:v>
      </x:c>
      <x:c r="B240" s="49" t="str">
        <x:v>M08</x:v>
      </x:c>
      <x:c r="C240" s="49" t="str">
        <x:v>I-WP03</x:v>
      </x:c>
      <x:c r="D240" s="49" t="str">
        <x:v>Kiên</x:v>
      </x:c>
      <x:c r="E240" s="49" t="str">
        <x:v>P1</x:v>
      </x:c>
      <x:c r="F240" s="49" t="str">
        <x:v>KEEP</x:v>
      </x:c>
      <x:c r="G240" s="49" t="str">
        <x:v>Trang admin quản lý entity: tìm kiếm, lọc theo loại và trạng thái, phân trang</x:v>
      </x:c>
      <x:c r="H240" s="49" t="str">
        <x:v>T04-04</x:v>
      </x:c>
      <x:c r="I240" s="49" t="str">
        <x:v>Thắng</x:v>
      </x:c>
    </x:row>
    <x:row r="241" ht="36" customHeight="1">
      <x:c r="A241" s="49" t="str">
        <x:v>M08-F020</x:v>
      </x:c>
      <x:c r="B241" s="49" t="str">
        <x:v>M08</x:v>
      </x:c>
      <x:c r="C241" s="49" t="str">
        <x:v>I-WP03</x:v>
      </x:c>
      <x:c r="D241" s="49" t="str">
        <x:v>Kiên</x:v>
      </x:c>
      <x:c r="E241" s="49" t="str">
        <x:v>P1</x:v>
      </x:c>
      <x:c r="F241" s="49" t="str">
        <x:v>KEEP</x:v>
      </x:c>
      <x:c r="G241" s="49" t="str">
        <x:v>Xem toàn bộ báo cáo dẫn tới một entity</x:v>
      </x:c>
      <x:c r="H241" s="49" t="str">
        <x:v>T04-05</x:v>
      </x:c>
      <x:c r="I241" s="49" t="str">
        <x:v>Thắng</x:v>
      </x:c>
    </x:row>
    <x:row r="242" ht="36" customHeight="1">
      <x:c r="A242" s="49" t="str">
        <x:v>M08-F021</x:v>
      </x:c>
      <x:c r="B242" s="49" t="str">
        <x:v>M08</x:v>
      </x:c>
      <x:c r="C242" s="49" t="str">
        <x:v>I-WP03</x:v>
      </x:c>
      <x:c r="D242" s="49" t="str">
        <x:v>Kiên</x:v>
      </x:c>
      <x:c r="E242" s="49" t="str">
        <x:v>P1</x:v>
      </x:c>
      <x:c r="F242" s="49" t="str">
        <x:v>KEEP</x:v>
      </x:c>
      <x:c r="G242" s="49" t="str">
        <x:v>Gộp các entity trùng lặp</x:v>
      </x:c>
      <x:c r="H242" s="49" t="str">
        <x:v>T04-06</x:v>
      </x:c>
      <x:c r="I242" s="49" t="str">
        <x:v>Thắng</x:v>
      </x:c>
    </x:row>
    <x:row r="243" ht="36" customHeight="1">
      <x:c r="A243" s="49" t="str">
        <x:v>M08-F022</x:v>
      </x:c>
      <x:c r="B243" s="49" t="str">
        <x:v>M08</x:v>
      </x:c>
      <x:c r="C243" s="49" t="str">
        <x:v>I-WP03</x:v>
      </x:c>
      <x:c r="D243" s="49" t="str">
        <x:v>Kiên</x:v>
      </x:c>
      <x:c r="E243" s="49" t="str">
        <x:v>P2</x:v>
      </x:c>
      <x:c r="F243" s="49" t="str">
        <x:v>KEEP</x:v>
      </x:c>
      <x:c r="G243" s="49" t="str">
        <x:v>Điểm tin cậy của entity dựa trên số nguồn độc lập xác nhận</x:v>
      </x:c>
      <x:c r="H243" s="49" t="str">
        <x:v>T04-07</x:v>
      </x:c>
      <x:c r="I243" s="49" t="str">
        <x:v>Thắng</x:v>
      </x:c>
    </x:row>
    <x:row r="244" ht="36" customHeight="1">
      <x:c r="A244" s="49" t="str">
        <x:v>M08-F023</x:v>
      </x:c>
      <x:c r="B244" s="49" t="str">
        <x:v>M08</x:v>
      </x:c>
      <x:c r="C244" s="49" t="str">
        <x:v>I-WP03</x:v>
      </x:c>
      <x:c r="D244" s="49" t="str">
        <x:v>Kiên</x:v>
      </x:c>
      <x:c r="E244" s="49" t="str">
        <x:v>P2</x:v>
      </x:c>
      <x:c r="F244" s="49" t="str">
        <x:v>KEEP</x:v>
      </x:c>
      <x:c r="G244" s="49" t="str">
        <x:v>Tự động hạ trạng thái entity không còn báo cáo mới trong thời gian dài</x:v>
      </x:c>
      <x:c r="H244" s="49" t="str">
        <x:v>T04-08</x:v>
      </x:c>
      <x:c r="I244" s="49" t="str">
        <x:v>Thắng</x:v>
      </x:c>
    </x:row>
    <x:row r="245" ht="36" customHeight="1">
      <x:c r="A245" s="49" t="str">
        <x:v>M08-F024</x:v>
      </x:c>
      <x:c r="B245" s="49" t="str">
        <x:v>M08</x:v>
      </x:c>
      <x:c r="C245" s="49" t="str">
        <x:v>I-WP03</x:v>
      </x:c>
      <x:c r="D245" s="49" t="str">
        <x:v>Kiên</x:v>
      </x:c>
      <x:c r="E245" s="49" t="str">
        <x:v>P2</x:v>
      </x:c>
      <x:c r="F245" s="49" t="str">
        <x:v>FUTURE_SCOPE</x:v>
      </x:c>
      <x:c r="G245" s="49" t="str">
        <x:v>Chế độ ngoại tuyến dùng danh sách đen tải sẵn</x:v>
      </x:c>
      <x:c r="H245" s="49" t="str">
        <x:v>T11-09</x:v>
      </x:c>
      <x:c r="I245" s="49" t="str">
        <x:v>Thắng</x:v>
      </x:c>
    </x:row>
    <x:row r="246" ht="36" customHeight="1">
      <x:c r="A246" s="49" t="str">
        <x:v>M08-F025</x:v>
      </x:c>
      <x:c r="B246" s="49" t="str">
        <x:v>M08</x:v>
      </x:c>
      <x:c r="C246" s="49" t="str">
        <x:v>I-WP04</x:v>
      </x:c>
      <x:c r="D246" s="49" t="str">
        <x:v>Kiên</x:v>
      </x:c>
      <x:c r="E246" s="49" t="str">
        <x:v>P0</x:v>
      </x:c>
      <x:c r="F246" s="49" t="str">
        <x:v>ADD</x:v>
      </x:c>
      <x:c r="G246" s="49" t="str">
        <x:v>Core-only `ThreatQuery` dùng cache-aside: Redis HIT; MISS → PostgreSQL source of truth → cache `ReputationContext`; scanner worker không gọi `ThreatQuery`.</x:v>
      </x:c>
      <x:c r="H246" s="49" t="str">
        <x:v>ARCH-V3.2-05</x:v>
      </x:c>
      <x:c r="I246" s="49" t="str">
        <x:v>—</x:v>
      </x:c>
    </x:row>
    <x:row r="247" ht="36" customHeight="1">
      <x:c r="A247" s="49" t="str">
        <x:v>M08-F026</x:v>
      </x:c>
      <x:c r="B247" s="49" t="str">
        <x:v>M08</x:v>
      </x:c>
      <x:c r="C247" s="49" t="str">
        <x:v>I-WP04</x:v>
      </x:c>
      <x:c r="D247" s="49" t="str">
        <x:v>Kiên</x:v>
      </x:c>
      <x:c r="E247" s="49" t="str">
        <x:v>P0</x:v>
      </x:c>
      <x:c r="F247" s="49" t="str">
        <x:v>ADD</x:v>
      </x:c>
      <x:c r="G247" s="49" t="str">
        <x:v>Threat ingestion normalize/validate/deduplicate/version/upsert PostgreSQL rồi refresh/invalidate Redis; scanner worker không đọc DB/Redis/core API.</x:v>
      </x:c>
      <x:c r="H247" s="49" t="str">
        <x:v>ARCH-V3.2-06</x:v>
      </x:c>
      <x:c r="I247" s="49" t="str">
        <x:v>—</x:v>
      </x:c>
    </x:row>
    <x:row r="248" ht="36" customHeight="1">
      <x:c r="A248" s="49" t="str">
        <x:v>M08-F027</x:v>
      </x:c>
      <x:c r="B248" s="49" t="str">
        <x:v>M08</x:v>
      </x:c>
      <x:c r="C248" s="49" t="str">
        <x:v>I-WP04</x:v>
      </x:c>
      <x:c r="D248" s="49" t="str">
        <x:v>Kiên</x:v>
      </x:c>
      <x:c r="E248" s="49" t="str">
        <x:v>P0</x:v>
      </x:c>
      <x:c r="F248" s="49" t="str">
        <x:v>ADD</x:v>
      </x:c>
      <x:c r="G248" s="49" t="str">
        <x:v>Deferred enrichment chỉ diễn ra trong Spring Boot core khi consume `DerivedIndicator`; `ThreatQuery` bounded ~500 ms và trả `NO_DATA`/`REPUTATION_UNAVAILABLE`, không expose worker-facing lookup endpoint.</x:v>
      </x:c>
      <x:c r="H248" s="49" t="str">
        <x:v>ARCH-V3.2-07</x:v>
      </x:c>
      <x:c r="I248" s="49" t="str">
        <x:v>—</x:v>
      </x:c>
    </x:row>
    <x:row r="249" ht="36" customHeight="1">
      <x:c r="A249" s="49" t="str">
        <x:v>M09-F001</x:v>
      </x:c>
      <x:c r="B249" s="49" t="str">
        <x:v>M09</x:v>
      </x:c>
      <x:c r="C249" s="49" t="str">
        <x:v>I-WP05</x:v>
      </x:c>
      <x:c r="D249" s="49" t="str">
        <x:v>Kiên</x:v>
      </x:c>
      <x:c r="E249" s="49" t="str">
        <x:v>P0</x:v>
      </x:c>
      <x:c r="F249" s="49" t="str">
        <x:v>KEEP</x:v>
      </x:c>
      <x:c r="G249" s="49" t="str">
        <x:v>Mô hình rule khai báo bằng FACT: `requiresAll` / `requiresAny` / `requiresNone`</x:v>
      </x:c>
      <x:c r="H249" s="49" t="str">
        <x:v>H10-01</x:v>
      </x:c>
      <x:c r="I249" s="49" t="str">
        <x:v>Hùng</x:v>
      </x:c>
    </x:row>
    <x:row r="250" ht="36" customHeight="1">
      <x:c r="A250" s="49" t="str">
        <x:v>M09-F002</x:v>
      </x:c>
      <x:c r="B250" s="49" t="str">
        <x:v>M09</x:v>
      </x:c>
      <x:c r="C250" s="49" t="str">
        <x:v>I-WP05</x:v>
      </x:c>
      <x:c r="D250" s="49" t="str">
        <x:v>Kiên</x:v>
      </x:c>
      <x:c r="E250" s="49" t="str">
        <x:v>P0</x:v>
      </x:c>
      <x:c r="F250" s="49" t="str">
        <x:v>KEEP</x:v>
      </x:c>
      <x:c r="G250" s="49" t="str">
        <x:v>Sinh `evidences[]` với `ruleCode`, `ruleName`, `score`, `severity`, `description`</x:v>
      </x:c>
      <x:c r="H250" s="49" t="str">
        <x:v>H10-02</x:v>
      </x:c>
      <x:c r="I250" s="49" t="str">
        <x:v>Hùng</x:v>
      </x:c>
    </x:row>
    <x:row r="251" ht="36" customHeight="1">
      <x:c r="A251" s="49" t="str">
        <x:v>M09-F003</x:v>
      </x:c>
      <x:c r="B251" s="49" t="str">
        <x:v>M09</x:v>
      </x:c>
      <x:c r="C251" s="49" t="str">
        <x:v>I-WP06</x:v>
      </x:c>
      <x:c r="D251" s="49" t="str">
        <x:v>Kiên</x:v>
      </x:c>
      <x:c r="E251" s="49" t="str">
        <x:v>P0</x:v>
      </x:c>
      <x:c r="F251" s="49" t="str">
        <x:v>MODIFY</x:v>
      </x:c>
      <x:c r="G251" s="49" t="str">
        <x:v>Risk Fusion tạo `riskScore` trong `[0,100]` từ các nhóm Technical / Content / Reputation-Community / AI theo `FusionPolicy` versioned; mapping `0-34 SAFE`, `35-69 CAUTION`, `70-100 DANGER`.</x:v>
      </x:c>
      <x:c r="H251" s="49" t="str">
        <x:v>H10-03</x:v>
      </x:c>
      <x:c r="I251" s="49" t="str">
        <x:v>Hùng</x:v>
      </x:c>
    </x:row>
    <x:row r="252" ht="36" customHeight="1">
      <x:c r="A252" s="49" t="str">
        <x:v>M09-F004</x:v>
      </x:c>
      <x:c r="B252" s="49" t="str">
        <x:v>M09</x:v>
      </x:c>
      <x:c r="C252" s="49" t="str">
        <x:v>I-WP05</x:v>
      </x:c>
      <x:c r="D252" s="49" t="str">
        <x:v>Kiên</x:v>
      </x:c>
      <x:c r="E252" s="49" t="str">
        <x:v>P0</x:v>
      </x:c>
      <x:c r="F252" s="49" t="str">
        <x:v>MODIFY</x:v>
      </x:c>
      <x:c r="G252" s="49" t="str">
        <x:v>Bất biến kiểm thử: cùng `UnifiedSignalSet` + cùng `FusionPolicy` phải cho kết quả deterministic; không giả định `riskScore = sum(evidences[].score)`.</x:v>
      </x:c>
      <x:c r="H252" s="49" t="str">
        <x:v>H10-04</x:v>
      </x:c>
      <x:c r="I252" s="49" t="str">
        <x:v>Hùng</x:v>
      </x:c>
    </x:row>
    <x:row r="253" ht="36" customHeight="1">
      <x:c r="A253" s="49" t="str">
        <x:v>M09-F005</x:v>
      </x:c>
      <x:c r="B253" s="49" t="str">
        <x:v>M09</x:v>
      </x:c>
      <x:c r="C253" s="49" t="str">
        <x:v>I-WP05</x:v>
      </x:c>
      <x:c r="D253" s="49" t="str">
        <x:v>Kiên</x:v>
      </x:c>
      <x:c r="E253" s="49" t="str">
        <x:v>P0</x:v>
      </x:c>
      <x:c r="F253" s="49" t="str">
        <x:v>MODIFY</x:v>
      </x:c>
      <x:c r="G253" s="49" t="str">
        <x:v>Result Composer sinh `evidence[]`, `explanation[]` và `recommendations[]` từ signal/rule/fusion result; không để AI tự quyết định business verdict.</x:v>
      </x:c>
      <x:c r="H253" s="49" t="str">
        <x:v>H10-05</x:v>
      </x:c>
      <x:c r="I253" s="49" t="str">
        <x:v>Hùng</x:v>
      </x:c>
    </x:row>
    <x:row r="254" ht="36" customHeight="1">
      <x:c r="A254" s="49" t="str">
        <x:v>M09-F006</x:v>
      </x:c>
      <x:c r="B254" s="49" t="str">
        <x:v>M09</x:v>
      </x:c>
      <x:c r="C254" s="49" t="str">
        <x:v>I-WP06</x:v>
      </x:c>
      <x:c r="D254" s="49" t="str">
        <x:v>Kiên</x:v>
      </x:c>
      <x:c r="E254" s="49" t="str">
        <x:v>P1</x:v>
      </x:c>
      <x:c r="F254" s="49" t="str">
        <x:v>MODIFY</x:v>
      </x:c>
      <x:c r="G254" s="49" t="str">
        <x:v>Nạp `rules`/`rule_versions` từ PostgreSQL; policy/rule active có version rõ ràng, cache Redis và invalidate khi admin activate version mới.</x:v>
      </x:c>
      <x:c r="H254" s="49" t="str">
        <x:v>H10-06</x:v>
      </x:c>
      <x:c r="I254" s="49" t="str">
        <x:v>Hùng</x:v>
      </x:c>
    </x:row>
    <x:row r="255" ht="36" customHeight="1">
      <x:c r="A255" s="49" t="str">
        <x:v>M09-F007</x:v>
      </x:c>
      <x:c r="B255" s="49" t="str">
        <x:v>M09</x:v>
      </x:c>
      <x:c r="C255" s="49" t="str">
        <x:v>I-WP06</x:v>
      </x:c>
      <x:c r="D255" s="49" t="str">
        <x:v>Kiên</x:v>
      </x:c>
      <x:c r="E255" s="49" t="str">
        <x:v>P1</x:v>
      </x:c>
      <x:c r="F255" s="49" t="str">
        <x:v>MODIFY</x:v>
      </x:c>
      <x:c r="G255" s="49" t="str">
        <x:v>Nếu cần `confidence`, định nghĩa như metadata riêng có source/calibration rõ ràng; không dùng confidence để thay thế `riskScore`.</x:v>
      </x:c>
      <x:c r="H255" s="49" t="str">
        <x:v>H10-07</x:v>
      </x:c>
      <x:c r="I255" s="49" t="str">
        <x:v>Hùng</x:v>
      </x:c>
    </x:row>
    <x:row r="256" ht="36" customHeight="1">
      <x:c r="A256" s="49" t="str">
        <x:v>M09-F008</x:v>
      </x:c>
      <x:c r="B256" s="49" t="str">
        <x:v>M09</x:v>
      </x:c>
      <x:c r="C256" s="49" t="str">
        <x:v>I-WP06</x:v>
      </x:c>
      <x:c r="D256" s="49" t="str">
        <x:v>Kiên</x:v>
      </x:c>
      <x:c r="E256" s="49" t="str">
        <x:v>P2</x:v>
      </x:c>
      <x:c r="F256" s="49" t="str">
        <x:v>MODIFY</x:v>
      </x:c>
      <x:c r="G256" s="49" t="str">
        <x:v>P2: hỗ trợ policy profile theo user chỉ khi có requirement rõ ràng; không thay đổi semantics `SAFE/CAUTION/DANGER` tùy tiện theo client.</x:v>
      </x:c>
      <x:c r="H256" s="49" t="str">
        <x:v>H10-08</x:v>
      </x:c>
      <x:c r="I256" s="49" t="str">
        <x:v>Hùng</x:v>
      </x:c>
    </x:row>
    <x:row r="257" ht="36" customHeight="1">
      <x:c r="A257" s="49" t="str">
        <x:v>M09-F009</x:v>
      </x:c>
      <x:c r="B257" s="49" t="str">
        <x:v>M09</x:v>
      </x:c>
      <x:c r="C257" s="49" t="str">
        <x:v>I-WP07</x:v>
      </x:c>
      <x:c r="D257" s="49" t="str">
        <x:v>Kiên</x:v>
      </x:c>
      <x:c r="E257" s="49" t="str">
        <x:v>P0</x:v>
      </x:c>
      <x:c r="F257" s="49" t="str">
        <x:v>MODIFY</x:v>
      </x:c>
      <x:c r="G257" s="49" t="str">
        <x:v>Bảng `rules` và `rule_versions` / versioned rule definition trong PostgreSQL</x:v>
      </x:c>
      <x:c r="H257" s="49" t="str">
        <x:v>R04-01</x:v>
      </x:c>
      <x:c r="I257" s="49" t="str">
        <x:v>Kiên</x:v>
      </x:c>
    </x:row>
    <x:row r="258" ht="36" customHeight="1">
      <x:c r="A258" s="49" t="str">
        <x:v>M09-F010</x:v>
      </x:c>
      <x:c r="B258" s="49" t="str">
        <x:v>M09</x:v>
      </x:c>
      <x:c r="C258" s="49" t="str">
        <x:v>I-WP07</x:v>
      </x:c>
      <x:c r="D258" s="49" t="str">
        <x:v>Kiên</x:v>
      </x:c>
      <x:c r="E258" s="49" t="str">
        <x:v>P0</x:v>
      </x:c>
      <x:c r="F258" s="49" t="str">
        <x:v>MODIFY</x:v>
      </x:c>
      <x:c r="G258" s="49" t="str">
        <x:v>`Spring Boot Rule/Risk capability` nạp rule từ DB thay vì file, cache Redis</x:v>
      </x:c>
      <x:c r="H258" s="49" t="str">
        <x:v>R04-02</x:v>
      </x:c>
      <x:c r="I258" s="49" t="str">
        <x:v>Kiên</x:v>
      </x:c>
    </x:row>
    <x:row r="259" ht="36" customHeight="1">
      <x:c r="A259" s="49" t="str">
        <x:v>M09-F011</x:v>
      </x:c>
      <x:c r="B259" s="49" t="str">
        <x:v>M09</x:v>
      </x:c>
      <x:c r="C259" s="49" t="str">
        <x:v>I-WP07</x:v>
      </x:c>
      <x:c r="D259" s="49" t="str">
        <x:v>Kiên</x:v>
      </x:c>
      <x:c r="E259" s="49" t="str">
        <x:v>P1</x:v>
      </x:c>
      <x:c r="F259" s="49" t="str">
        <x:v>KEEP</x:v>
      </x:c>
      <x:c r="G259" s="49" t="str">
        <x:v>Trang admin: liệt kê, tìm kiếm, lọc rule theo danh mục và mức nghiêm trọng</x:v>
      </x:c>
      <x:c r="H259" s="49" t="str">
        <x:v>R04-03</x:v>
      </x:c>
      <x:c r="I259" s="49" t="str">
        <x:v>Kiên</x:v>
      </x:c>
    </x:row>
    <x:row r="260" ht="36" customHeight="1">
      <x:c r="A260" s="49" t="str">
        <x:v>M09-F012</x:v>
      </x:c>
      <x:c r="B260" s="49" t="str">
        <x:v>M09</x:v>
      </x:c>
      <x:c r="C260" s="49" t="str">
        <x:v>I-WP07</x:v>
      </x:c>
      <x:c r="D260" s="49" t="str">
        <x:v>Kiên</x:v>
      </x:c>
      <x:c r="E260" s="49" t="str">
        <x:v>P1</x:v>
      </x:c>
      <x:c r="F260" s="49" t="str">
        <x:v>KEEP</x:v>
      </x:c>
      <x:c r="G260" s="49" t="str">
        <x:v>Tạo, sửa, bật/tắt rule qua giao diện</x:v>
      </x:c>
      <x:c r="H260" s="49" t="str">
        <x:v>R04-04</x:v>
      </x:c>
      <x:c r="I260" s="49" t="str">
        <x:v>Kiên</x:v>
      </x:c>
    </x:row>
    <x:row r="261" ht="36" customHeight="1">
      <x:c r="A261" s="49" t="str">
        <x:v>M09-F013</x:v>
      </x:c>
      <x:c r="B261" s="49" t="str">
        <x:v>M09</x:v>
      </x:c>
      <x:c r="C261" s="49" t="str">
        <x:v>I-WP07</x:v>
      </x:c>
      <x:c r="D261" s="49" t="str">
        <x:v>Kiên</x:v>
      </x:c>
      <x:c r="E261" s="49" t="str">
        <x:v>P1</x:v>
      </x:c>
      <x:c r="F261" s="49" t="str">
        <x:v>KEEP</x:v>
      </x:c>
      <x:c r="G261" s="49" t="str">
        <x:v>Chỉnh trọng số và mức nghiêm trọng, kích hoạt rebuild cache</x:v>
      </x:c>
      <x:c r="H261" s="49" t="str">
        <x:v>R04-05</x:v>
      </x:c>
      <x:c r="I261" s="49" t="str">
        <x:v>Kiên</x:v>
      </x:c>
    </x:row>
    <x:row r="262" ht="36" customHeight="1">
      <x:c r="A262" s="49" t="str">
        <x:v>M09-F014</x:v>
      </x:c>
      <x:c r="B262" s="49" t="str">
        <x:v>M09</x:v>
      </x:c>
      <x:c r="C262" s="49" t="str">
        <x:v>I-WP07</x:v>
      </x:c>
      <x:c r="D262" s="49" t="str">
        <x:v>Kiên</x:v>
      </x:c>
      <x:c r="E262" s="49" t="str">
        <x:v>P1</x:v>
      </x:c>
      <x:c r="F262" s="49" t="str">
        <x:v>KEEP</x:v>
      </x:c>
      <x:c r="G262" s="49" t="str">
        <x:v>Ghi audit log mọi thay đổi rule</x:v>
      </x:c>
      <x:c r="H262" s="49" t="str">
        <x:v>R04-06</x:v>
      </x:c>
      <x:c r="I262" s="49" t="str">
        <x:v>Kiên</x:v>
      </x:c>
    </x:row>
    <x:row r="263" ht="36" customHeight="1">
      <x:c r="A263" s="49" t="str">
        <x:v>M09-F015</x:v>
      </x:c>
      <x:c r="B263" s="49" t="str">
        <x:v>M09</x:v>
      </x:c>
      <x:c r="C263" s="49" t="str">
        <x:v>I-WP07</x:v>
      </x:c>
      <x:c r="D263" s="49" t="str">
        <x:v>Kiên</x:v>
      </x:c>
      <x:c r="E263" s="49" t="str">
        <x:v>P2</x:v>
      </x:c>
      <x:c r="F263" s="49" t="str">
        <x:v>KEEP</x:v>
      </x:c>
      <x:c r="G263" s="49" t="str">
        <x:v>Sao chép rule để tạo biến thể</x:v>
      </x:c>
      <x:c r="H263" s="49" t="str">
        <x:v>R04-07</x:v>
      </x:c>
      <x:c r="I263" s="49" t="str">
        <x:v>Kiên</x:v>
      </x:c>
    </x:row>
    <x:row r="264" ht="36" customHeight="1">
      <x:c r="A264" s="49" t="str">
        <x:v>M09-F016</x:v>
      </x:c>
      <x:c r="B264" s="49" t="str">
        <x:v>M09</x:v>
      </x:c>
      <x:c r="C264" s="49" t="str">
        <x:v>I-WP07</x:v>
      </x:c>
      <x:c r="D264" s="49" t="str">
        <x:v>Kiên</x:v>
      </x:c>
      <x:c r="E264" s="49" t="str">
        <x:v>P2</x:v>
      </x:c>
      <x:c r="F264" s="49" t="str">
        <x:v>KEEP</x:v>
      </x:c>
      <x:c r="G264" s="49" t="str">
        <x:v>Nhập/xuất bộ rule dạng JSON</x:v>
      </x:c>
      <x:c r="H264" s="49" t="str">
        <x:v>R04-08</x:v>
      </x:c>
      <x:c r="I264" s="49" t="str">
        <x:v>Kiên</x:v>
      </x:c>
    </x:row>
    <x:row r="265" ht="36" customHeight="1">
      <x:c r="A265" s="49" t="str">
        <x:v>M09-F017</x:v>
      </x:c>
      <x:c r="B265" s="49" t="str">
        <x:v>M09</x:v>
      </x:c>
      <x:c r="C265" s="49" t="str">
        <x:v>I-WP08</x:v>
      </x:c>
      <x:c r="D265" s="49" t="str">
        <x:v>Kiên</x:v>
      </x:c>
      <x:c r="E265" s="49" t="str">
        <x:v>P1</x:v>
      </x:c>
      <x:c r="F265" s="49" t="str">
        <x:v>KEEP</x:v>
      </x:c>
      <x:c r="G265" s="49" t="str">
        <x:v>`GET /v1/rules/evaluate/preview` — chạy thử rule trên văn bản mẫu, không ghi lịch sử</x:v>
      </x:c>
      <x:c r="H265" s="49" t="str">
        <x:v>R05-01</x:v>
      </x:c>
      <x:c r="I265" s="49" t="str">
        <x:v>Kiên</x:v>
      </x:c>
    </x:row>
    <x:row r="266" ht="36" customHeight="1">
      <x:c r="A266" s="49" t="str">
        <x:v>M09-F018</x:v>
      </x:c>
      <x:c r="B266" s="49" t="str">
        <x:v>M09</x:v>
      </x:c>
      <x:c r="C266" s="49" t="str">
        <x:v>I-WP08</x:v>
      </x:c>
      <x:c r="D266" s="49" t="str">
        <x:v>Kiên</x:v>
      </x:c>
      <x:c r="E266" s="49" t="str">
        <x:v>P1</x:v>
      </x:c>
      <x:c r="F266" s="49" t="str">
        <x:v>KEEP</x:v>
      </x:c>
      <x:c r="G266" s="49" t="str">
        <x:v>Giao diện sandbox: nhập văn bản, xem rule nào khớp và cộng bao nhiêu điểm</x:v>
      </x:c>
      <x:c r="H266" s="49" t="str">
        <x:v>R05-02</x:v>
      </x:c>
      <x:c r="I266" s="49" t="str">
        <x:v>Kiên</x:v>
      </x:c>
    </x:row>
    <x:row r="267" ht="36" customHeight="1">
      <x:c r="A267" s="49" t="str">
        <x:v>M09-F019</x:v>
      </x:c>
      <x:c r="B267" s="49" t="str">
        <x:v>M09</x:v>
      </x:c>
      <x:c r="C267" s="49" t="str">
        <x:v>I-WP08</x:v>
      </x:c>
      <x:c r="D267" s="49" t="str">
        <x:v>Kiên</x:v>
      </x:c>
      <x:c r="E267" s="49" t="str">
        <x:v>P1</x:v>
      </x:c>
      <x:c r="F267" s="49" t="str">
        <x:v>KEEP</x:v>
      </x:c>
      <x:c r="G267" s="49" t="str">
        <x:v>Xem trước ảnh hưởng khi đổi trọng số, trước khi lưu</x:v>
      </x:c>
      <x:c r="H267" s="49" t="str">
        <x:v>R05-03</x:v>
      </x:c>
      <x:c r="I267" s="49" t="str">
        <x:v>Kiên</x:v>
      </x:c>
    </x:row>
    <x:row r="268" ht="36" customHeight="1">
      <x:c r="A268" s="49" t="str">
        <x:v>M09-F020</x:v>
      </x:c>
      <x:c r="B268" s="49" t="str">
        <x:v>M09</x:v>
      </x:c>
      <x:c r="C268" s="49" t="str">
        <x:v>I-WP08</x:v>
      </x:c>
      <x:c r="D268" s="49" t="str">
        <x:v>Kiên</x:v>
      </x:c>
      <x:c r="E268" s="49" t="str">
        <x:v>P2</x:v>
      </x:c>
      <x:c r="F268" s="49" t="str">
        <x:v>KEEP</x:v>
      </x:c>
      <x:c r="G268" s="49" t="str">
        <x:v>Chạy rule mới trên tập dữ liệu gán nhãn, báo số case bị ảnh hưởng</x:v>
      </x:c>
      <x:c r="H268" s="49" t="str">
        <x:v>R05-04</x:v>
      </x:c>
      <x:c r="I268" s="49" t="str">
        <x:v>Kiên</x:v>
      </x:c>
    </x:row>
    <x:row r="269" ht="36" customHeight="1">
      <x:c r="A269" s="49" t="str">
        <x:v>M09-F021</x:v>
      </x:c>
      <x:c r="B269" s="49" t="str">
        <x:v>M09</x:v>
      </x:c>
      <x:c r="C269" s="49" t="str">
        <x:v>I-WP08</x:v>
      </x:c>
      <x:c r="D269" s="49" t="str">
        <x:v>Kiên</x:v>
      </x:c>
      <x:c r="E269" s="49" t="str">
        <x:v>P2</x:v>
      </x:c>
      <x:c r="F269" s="49" t="str">
        <x:v>KEEP</x:v>
      </x:c>
      <x:c r="G269" s="49" t="str">
        <x:v>So sánh hai phiên bản bộ rule trên cùng tập đầu vào</x:v>
      </x:c>
      <x:c r="H269" s="49" t="str">
        <x:v>R05-05</x:v>
      </x:c>
      <x:c r="I269" s="49" t="str">
        <x:v>Kiên</x:v>
      </x:c>
    </x:row>
    <x:row r="270" ht="36" customHeight="1">
      <x:c r="A270" s="49" t="str">
        <x:v>M09-F022</x:v>
      </x:c>
      <x:c r="B270" s="49" t="str">
        <x:v>M09</x:v>
      </x:c>
      <x:c r="C270" s="49" t="str">
        <x:v>I-WP08</x:v>
      </x:c>
      <x:c r="D270" s="49" t="str">
        <x:v>Kiên</x:v>
      </x:c>
      <x:c r="E270" s="49" t="str">
        <x:v>P2</x:v>
      </x:c>
      <x:c r="F270" s="49" t="str">
        <x:v>KEEP</x:v>
      </x:c>
      <x:c r="G270" s="49" t="str">
        <x:v>Chế độ shadow — chạy rule mới song song nhưng chưa áp dụng điểm</x:v>
      </x:c>
      <x:c r="H270" s="49" t="str">
        <x:v>R05-06</x:v>
      </x:c>
      <x:c r="I270" s="49" t="str">
        <x:v>Kiên</x:v>
      </x:c>
    </x:row>
    <x:row r="271" ht="36" customHeight="1">
      <x:c r="A271" s="49" t="str">
        <x:v>M09-F023</x:v>
      </x:c>
      <x:c r="B271" s="49" t="str">
        <x:v>M09</x:v>
      </x:c>
      <x:c r="C271" s="49" t="str">
        <x:v>I-WP09</x:v>
      </x:c>
      <x:c r="D271" s="49" t="str">
        <x:v>Kiên</x:v>
      </x:c>
      <x:c r="E271" s="49" t="str">
        <x:v>P1</x:v>
      </x:c>
      <x:c r="F271" s="49" t="str">
        <x:v>KEEP</x:v>
      </x:c>
      <x:c r="G271" s="49" t="str">
        <x:v>Đánh phiên bản cho mỗi lần thay đổi bộ rule</x:v>
      </x:c>
      <x:c r="H271" s="49" t="str">
        <x:v>R06-01</x:v>
      </x:c>
      <x:c r="I271" s="49" t="str">
        <x:v>Kiên</x:v>
      </x:c>
    </x:row>
    <x:row r="272" ht="36" customHeight="1">
      <x:c r="A272" s="49" t="str">
        <x:v>M09-F024</x:v>
      </x:c>
      <x:c r="B272" s="49" t="str">
        <x:v>M09</x:v>
      </x:c>
      <x:c r="C272" s="49" t="str">
        <x:v>I-WP09</x:v>
      </x:c>
      <x:c r="D272" s="49" t="str">
        <x:v>Kiên</x:v>
      </x:c>
      <x:c r="E272" s="49" t="str">
        <x:v>P1</x:v>
      </x:c>
      <x:c r="F272" s="49" t="str">
        <x:v>KEEP</x:v>
      </x:c>
      <x:c r="G272" s="49" t="str">
        <x:v>Lưu phiên bản rule đã dùng vào từng bản ghi kết quả quét</x:v>
      </x:c>
      <x:c r="H272" s="49" t="str">
        <x:v>R06-02</x:v>
      </x:c>
      <x:c r="I272" s="49" t="str">
        <x:v>Kiên</x:v>
      </x:c>
    </x:row>
    <x:row r="273" ht="36" customHeight="1">
      <x:c r="A273" s="49" t="str">
        <x:v>M09-F025</x:v>
      </x:c>
      <x:c r="B273" s="49" t="str">
        <x:v>M09</x:v>
      </x:c>
      <x:c r="C273" s="49" t="str">
        <x:v>I-WP09</x:v>
      </x:c>
      <x:c r="D273" s="49" t="str">
        <x:v>Kiên</x:v>
      </x:c>
      <x:c r="E273" s="49" t="str">
        <x:v>P1</x:v>
      </x:c>
      <x:c r="F273" s="49" t="str">
        <x:v>KEEP</x:v>
      </x:c>
      <x:c r="G273" s="49" t="str">
        <x:v>Xem lịch sử thay đổi của một rule (ai sửa, sửa gì, khi nào)</x:v>
      </x:c>
      <x:c r="H273" s="49" t="str">
        <x:v>R06-03</x:v>
      </x:c>
      <x:c r="I273" s="49" t="str">
        <x:v>Kiên</x:v>
      </x:c>
    </x:row>
    <x:row r="274" ht="36" customHeight="1">
      <x:c r="A274" s="49" t="str">
        <x:v>M09-F026</x:v>
      </x:c>
      <x:c r="B274" s="49" t="str">
        <x:v>M09</x:v>
      </x:c>
      <x:c r="C274" s="49" t="str">
        <x:v>I-WP09</x:v>
      </x:c>
      <x:c r="D274" s="49" t="str">
        <x:v>Kiên</x:v>
      </x:c>
      <x:c r="E274" s="49" t="str">
        <x:v>P2</x:v>
      </x:c>
      <x:c r="F274" s="49" t="str">
        <x:v>KEEP</x:v>
      </x:c>
      <x:c r="G274" s="49" t="str">
        <x:v>Quay lại phiên bản trước bằng một thao tác</x:v>
      </x:c>
      <x:c r="H274" s="49" t="str">
        <x:v>R06-04</x:v>
      </x:c>
      <x:c r="I274" s="49" t="str">
        <x:v>Kiên</x:v>
      </x:c>
    </x:row>
    <x:row r="275" ht="36" customHeight="1">
      <x:c r="A275" s="49" t="str">
        <x:v>M09-F027</x:v>
      </x:c>
      <x:c r="B275" s="49" t="str">
        <x:v>M09</x:v>
      </x:c>
      <x:c r="C275" s="49" t="str">
        <x:v>I-WP09</x:v>
      </x:c>
      <x:c r="D275" s="49" t="str">
        <x:v>Kiên</x:v>
      </x:c>
      <x:c r="E275" s="49" t="str">
        <x:v>P2</x:v>
      </x:c>
      <x:c r="F275" s="49" t="str">
        <x:v>KEEP</x:v>
      </x:c>
      <x:c r="G275" s="49" t="str">
        <x:v>So sánh khác biệt giữa hai phiên bản</x:v>
      </x:c>
      <x:c r="H275" s="49" t="str">
        <x:v>R06-05</x:v>
      </x:c>
      <x:c r="I275" s="49" t="str">
        <x:v>Kiên</x:v>
      </x:c>
    </x:row>
    <x:row r="276" ht="36" customHeight="1">
      <x:c r="A276" s="49" t="str">
        <x:v>M09-F028</x:v>
      </x:c>
      <x:c r="B276" s="49" t="str">
        <x:v>M09</x:v>
      </x:c>
      <x:c r="C276" s="49" t="str">
        <x:v>I-WP09</x:v>
      </x:c>
      <x:c r="D276" s="49" t="str">
        <x:v>Kiên</x:v>
      </x:c>
      <x:c r="E276" s="49" t="str">
        <x:v>P2</x:v>
      </x:c>
      <x:c r="F276" s="49" t="str">
        <x:v>KEEP</x:v>
      </x:c>
      <x:c r="G276" s="49" t="str">
        <x:v>Phê duyệt hai bước cho thay đổi rule quan trọng</x:v>
      </x:c>
      <x:c r="H276" s="49" t="str">
        <x:v>R06-06</x:v>
      </x:c>
      <x:c r="I276" s="49" t="str">
        <x:v>Kiên</x:v>
      </x:c>
    </x:row>
    <x:row r="277" ht="36" customHeight="1">
      <x:c r="A277" s="49" t="str">
        <x:v>M09-F029</x:v>
      </x:c>
      <x:c r="B277" s="49" t="str">
        <x:v>M09</x:v>
      </x:c>
      <x:c r="C277" s="49" t="str">
        <x:v>I-WP10</x:v>
      </x:c>
      <x:c r="D277" s="49" t="str">
        <x:v>Kiên</x:v>
      </x:c>
      <x:c r="E277" s="49" t="str">
        <x:v>P1</x:v>
      </x:c>
      <x:c r="F277" s="49" t="str">
        <x:v>KEEP</x:v>
      </x:c>
      <x:c r="G277" s="49" t="str">
        <x:v>Số lượt quét theo ngày/tuần/tháng, tách theo loại đầu vào</x:v>
      </x:c>
      <x:c r="H277" s="49" t="str">
        <x:v>T08-01</x:v>
      </x:c>
      <x:c r="I277" s="49" t="str">
        <x:v>Thắng</x:v>
      </x:c>
    </x:row>
    <x:row r="278" ht="36" customHeight="1">
      <x:c r="A278" s="49" t="str">
        <x:v>M09-F030</x:v>
      </x:c>
      <x:c r="B278" s="49" t="str">
        <x:v>M09</x:v>
      </x:c>
      <x:c r="C278" s="49" t="str">
        <x:v>I-WP10</x:v>
      </x:c>
      <x:c r="D278" s="49" t="str">
        <x:v>Kiên</x:v>
      </x:c>
      <x:c r="E278" s="49" t="str">
        <x:v>P1</x:v>
      </x:c>
      <x:c r="F278" s="49" t="str">
        <x:v>KEEP</x:v>
      </x:c>
      <x:c r="G278" s="49" t="str">
        <x:v>Phân bố mức rủi ro `SAFE` / `CAUTION` / `DANGER`</x:v>
      </x:c>
      <x:c r="H278" s="49" t="str">
        <x:v>T08-02</x:v>
      </x:c>
      <x:c r="I278" s="49" t="str">
        <x:v>Thắng</x:v>
      </x:c>
    </x:row>
    <x:row r="279" ht="36" customHeight="1">
      <x:c r="A279" s="49" t="str">
        <x:v>M09-F031</x:v>
      </x:c>
      <x:c r="B279" s="49" t="str">
        <x:v>M09</x:v>
      </x:c>
      <x:c r="C279" s="49" t="str">
        <x:v>I-WP10</x:v>
      </x:c>
      <x:c r="D279" s="49" t="str">
        <x:v>Kiên</x:v>
      </x:c>
      <x:c r="E279" s="49" t="str">
        <x:v>P1</x:v>
      </x:c>
      <x:c r="F279" s="49" t="str">
        <x:v>KEEP</x:v>
      </x:c>
      <x:c r="G279" s="49" t="str">
        <x:v>Top loại lừa đảo phổ biến</x:v>
      </x:c>
      <x:c r="H279" s="49" t="str">
        <x:v>T08-03</x:v>
      </x:c>
      <x:c r="I279" s="49" t="str">
        <x:v>Thắng</x:v>
      </x:c>
    </x:row>
    <x:row r="280" ht="36" customHeight="1">
      <x:c r="A280" s="49" t="str">
        <x:v>M09-F032</x:v>
      </x:c>
      <x:c r="B280" s="49" t="str">
        <x:v>M09</x:v>
      </x:c>
      <x:c r="C280" s="49" t="str">
        <x:v>I-WP10</x:v>
      </x:c>
      <x:c r="D280" s="49" t="str">
        <x:v>Kiên</x:v>
      </x:c>
      <x:c r="E280" s="49" t="str">
        <x:v>P1</x:v>
      </x:c>
      <x:c r="F280" s="49" t="str">
        <x:v>KEEP</x:v>
      </x:c>
      <x:c r="G280" s="49" t="str">
        <x:v>Top tên miền, số điện thoại, số tài khoản bị báo cáo nhiều nhất</x:v>
      </x:c>
      <x:c r="H280" s="49" t="str">
        <x:v>T08-04</x:v>
      </x:c>
      <x:c r="I280" s="49" t="str">
        <x:v>Thắng</x:v>
      </x:c>
    </x:row>
    <x:row r="281" ht="36" customHeight="1">
      <x:c r="A281" s="49" t="str">
        <x:v>M09-F033</x:v>
      </x:c>
      <x:c r="B281" s="49" t="str">
        <x:v>M09</x:v>
      </x:c>
      <x:c r="C281" s="49" t="str">
        <x:v>I-WP10</x:v>
      </x:c>
      <x:c r="D281" s="49" t="str">
        <x:v>Kiên</x:v>
      </x:c>
      <x:c r="E281" s="49" t="str">
        <x:v>P1</x:v>
      </x:c>
      <x:c r="F281" s="49" t="str">
        <x:v>KEEP</x:v>
      </x:c>
      <x:c r="G281" s="49" t="str">
        <x:v>Số báo cáo theo trạng thái, thời gian xử lý trung bình</x:v>
      </x:c>
      <x:c r="H281" s="49" t="str">
        <x:v>T08-05</x:v>
      </x:c>
      <x:c r="I281" s="49" t="str">
        <x:v>Thắng</x:v>
      </x:c>
    </x:row>
    <x:row r="282" ht="36" customHeight="1">
      <x:c r="A282" s="49" t="str">
        <x:v>M09-F034</x:v>
      </x:c>
      <x:c r="B282" s="49" t="str">
        <x:v>M09</x:v>
      </x:c>
      <x:c r="C282" s="49" t="str">
        <x:v>I-WP10</x:v>
      </x:c>
      <x:c r="D282" s="49" t="str">
        <x:v>Kiên</x:v>
      </x:c>
      <x:c r="E282" s="49" t="str">
        <x:v>P2</x:v>
      </x:c>
      <x:c r="F282" s="49" t="str">
        <x:v>KEEP</x:v>
      </x:c>
      <x:c r="G282" s="49" t="str">
        <x:v>Biểu đồ xu hướng theo thời gian, so sánh kỳ trước</x:v>
      </x:c>
      <x:c r="H282" s="49" t="str">
        <x:v>T08-06</x:v>
      </x:c>
      <x:c r="I282" s="49" t="str">
        <x:v>Thắng</x:v>
      </x:c>
    </x:row>
    <x:row r="283" ht="36" customHeight="1">
      <x:c r="A283" s="49" t="str">
        <x:v>M09-F035</x:v>
      </x:c>
      <x:c r="B283" s="49" t="str">
        <x:v>M09</x:v>
      </x:c>
      <x:c r="C283" s="49" t="str">
        <x:v>I-WP10</x:v>
      </x:c>
      <x:c r="D283" s="49" t="str">
        <x:v>Kiên</x:v>
      </x:c>
      <x:c r="E283" s="49" t="str">
        <x:v>P2</x:v>
      </x:c>
      <x:c r="F283" s="49" t="str">
        <x:v>KEEP</x:v>
      </x:c>
      <x:c r="G283" s="49" t="str">
        <x:v>Bản đồ nhiệt theo khung giờ trong ngày</x:v>
      </x:c>
      <x:c r="H283" s="49" t="str">
        <x:v>T08-07</x:v>
      </x:c>
      <x:c r="I283" s="49" t="str">
        <x:v>Thắng</x:v>
      </x:c>
    </x:row>
    <x:row r="284" ht="36" customHeight="1">
      <x:c r="A284" s="49" t="str">
        <x:v>M09-F036</x:v>
      </x:c>
      <x:c r="B284" s="49" t="str">
        <x:v>M09</x:v>
      </x:c>
      <x:c r="C284" s="49" t="str">
        <x:v>I-WP10</x:v>
      </x:c>
      <x:c r="D284" s="49" t="str">
        <x:v>Kiên</x:v>
      </x:c>
      <x:c r="E284" s="49" t="str">
        <x:v>P2</x:v>
      </x:c>
      <x:c r="F284" s="49" t="str">
        <x:v>KEEP</x:v>
      </x:c>
      <x:c r="G284" s="49" t="str">
        <x:v>Xuất dashboard ra PDF theo kỳ</x:v>
      </x:c>
      <x:c r="H284" s="49" t="str">
        <x:v>T08-08</x:v>
      </x:c>
      <x:c r="I284" s="49" t="str">
        <x:v>Thắng</x:v>
      </x:c>
    </x:row>
    <x:row r="285" ht="36" customHeight="1">
      <x:c r="A285" s="49" t="str">
        <x:v>M09-F037</x:v>
      </x:c>
      <x:c r="B285" s="49" t="str">
        <x:v>M09</x:v>
      </x:c>
      <x:c r="C285" s="49" t="str">
        <x:v>I-WP05</x:v>
      </x:c>
      <x:c r="D285" s="49" t="str">
        <x:v>Kiên</x:v>
      </x:c>
      <x:c r="E285" s="49" t="str">
        <x:v>P0</x:v>
      </x:c>
      <x:c r="F285" s="49" t="str">
        <x:v>ADD</x:v>
      </x:c>
      <x:c r="G285" s="49" t="str">
        <x:v>Tách rõ `Rule Engine -&gt; RuleMatch[]/evidence`, `Risk Fusion -&gt; score/level`, `Result Composer -&gt; explanation/recommendation`.</x:v>
      </x:c>
      <x:c r="H285" s="49" t="str">
        <x:v>ARCH-17 (Architecture V3.2)</x:v>
      </x:c>
      <x:c r="I285" s="49" t="str">
        <x:v>—</x:v>
      </x:c>
    </x:row>
    <x:row r="286" ht="36" customHeight="1">
      <x:c r="A286" s="49" t="str">
        <x:v>M09-F038</x:v>
      </x:c>
      <x:c r="B286" s="49" t="str">
        <x:v>M09</x:v>
      </x:c>
      <x:c r="C286" s="49" t="str">
        <x:v>I-WP06</x:v>
      </x:c>
      <x:c r="D286" s="49" t="str">
        <x:v>Kiên</x:v>
      </x:c>
      <x:c r="E286" s="49" t="str">
        <x:v>P0</x:v>
      </x:c>
      <x:c r="F286" s="49" t="str">
        <x:v>ADD</x:v>
      </x:c>
      <x:c r="G286" s="49" t="str">
        <x:v>`FusionPolicy` versioned/configurable theo scan profile; missing signal group phải renormalize trọng số thay vì xem như 0.</x:v>
      </x:c>
      <x:c r="H286" s="49" t="str">
        <x:v>ARCH-18 (Architecture V3.2)</x:v>
      </x:c>
      <x:c r="I286" s="49" t="str">
        <x:v>—</x:v>
      </x:c>
    </x:row>
    <x:row r="287" ht="36" customHeight="1">
      <x:c r="A287" s="49" t="str">
        <x:v>M09-F039</x:v>
      </x:c>
      <x:c r="B287" s="49" t="str">
        <x:v>M09</x:v>
      </x:c>
      <x:c r="C287" s="49" t="str">
        <x:v>I-WP06</x:v>
      </x:c>
      <x:c r="D287" s="49" t="str">
        <x:v>Kiên</x:v>
      </x:c>
      <x:c r="E287" s="49" t="str">
        <x:v>P0</x:v>
      </x:c>
      <x:c r="F287" s="49" t="str">
        <x:v>ADD</x:v>
      </x:c>
      <x:c r="G287" s="49" t="str">
        <x:v>Initial threshold dùng `0-34 SAFE`, `35-69 CAUTION`, `70-100 DANGER`; hard override phải có evidence và nằm trong policy version.</x:v>
      </x:c>
      <x:c r="H287" s="49" t="str">
        <x:v>ARCH-19 (Architecture V3.2)</x:v>
      </x:c>
      <x:c r="I287" s="49" t="str">
        <x:v>—</x:v>
      </x:c>
    </x:row>
    <x:row r="288" ht="36" customHeight="1">
      <x:c r="A288" s="49" t="str">
        <x:v>M10-F001</x:v>
      </x:c>
      <x:c r="B288" s="49" t="str">
        <x:v>M10</x:v>
      </x:c>
      <x:c r="C288" s="49" t="str">
        <x:v>H-WP08</x:v>
      </x:c>
      <x:c r="D288" s="49" t="str">
        <x:v>Hùng</x:v>
      </x:c>
      <x:c r="E288" s="49" t="str">
        <x:v>P1</x:v>
      </x:c>
      <x:c r="F288" s="49" t="str">
        <x:v>KEEP</x:v>
      </x:c>
      <x:c r="G288" s="49" t="str">
        <x:v>Thông báo trong ứng dụng khi báo cáo được duyệt hoặc bị từ chối</x:v>
      </x:c>
      <x:c r="H288" s="49" t="str">
        <x:v>T09-01</x:v>
      </x:c>
      <x:c r="I288" s="49" t="str">
        <x:v>Thắng</x:v>
      </x:c>
    </x:row>
    <x:row r="289" ht="36" customHeight="1">
      <x:c r="A289" s="49" t="str">
        <x:v>M10-F002</x:v>
      </x:c>
      <x:c r="B289" s="49" t="str">
        <x:v>M10</x:v>
      </x:c>
      <x:c r="C289" s="49" t="str">
        <x:v>H-WP08</x:v>
      </x:c>
      <x:c r="D289" s="49" t="str">
        <x:v>Hùng</x:v>
      </x:c>
      <x:c r="E289" s="49" t="str">
        <x:v>P1</x:v>
      </x:c>
      <x:c r="F289" s="49" t="str">
        <x:v>KEEP</x:v>
      </x:c>
      <x:c r="G289" s="49" t="str">
        <x:v>Email thông báo kết quả xử lý báo cáo</x:v>
      </x:c>
      <x:c r="H289" s="49" t="str">
        <x:v>T09-02</x:v>
      </x:c>
      <x:c r="I289" s="49" t="str">
        <x:v>Thắng</x:v>
      </x:c>
    </x:row>
    <x:row r="290" ht="36" customHeight="1">
      <x:c r="A290" s="49" t="str">
        <x:v>M10-F003</x:v>
      </x:c>
      <x:c r="B290" s="49" t="str">
        <x:v>M10</x:v>
      </x:c>
      <x:c r="C290" s="49" t="str">
        <x:v>H-WP09</x:v>
      </x:c>
      <x:c r="D290" s="49" t="str">
        <x:v>Hùng</x:v>
      </x:c>
      <x:c r="E290" s="49" t="str">
        <x:v>P1</x:v>
      </x:c>
      <x:c r="F290" s="49" t="str">
        <x:v>MODIFY</x:v>
      </x:c>
      <x:c r="G290" s="49" t="str">
        <x:v>Notification Delivery Worker xử lý bất đồng bộ; attempt đầu + tối đa 2 retry, exhausted -&gt; failed/DLQ; delivery failure không rollback business transaction.</x:v>
      </x:c>
      <x:c r="H290" s="49" t="str">
        <x:v>T09-03 + V3.3</x:v>
      </x:c>
      <x:c r="I290" s="49" t="str">
        <x:v>Thắng</x:v>
      </x:c>
    </x:row>
    <x:row r="291" ht="36" customHeight="1">
      <x:c r="A291" s="49" t="str">
        <x:v>M10-F004</x:v>
      </x:c>
      <x:c r="B291" s="49" t="str">
        <x:v>M10</x:v>
      </x:c>
      <x:c r="C291" s="49" t="str">
        <x:v>H-WP08</x:v>
      </x:c>
      <x:c r="D291" s="49" t="str">
        <x:v>Hùng</x:v>
      </x:c>
      <x:c r="E291" s="49" t="str">
        <x:v>P1</x:v>
      </x:c>
      <x:c r="F291" s="49" t="str">
        <x:v>KEEP</x:v>
      </x:c>
      <x:c r="G291" s="49" t="str">
        <x:v>Trung tâm thông báo, đánh dấu đã đọc</x:v>
      </x:c>
      <x:c r="H291" s="49" t="str">
        <x:v>T09-04</x:v>
      </x:c>
      <x:c r="I291" s="49" t="str">
        <x:v>Thắng</x:v>
      </x:c>
    </x:row>
    <x:row r="292" ht="36" customHeight="1">
      <x:c r="A292" s="49" t="str">
        <x:v>M10-F005</x:v>
      </x:c>
      <x:c r="B292" s="49" t="str">
        <x:v>M10</x:v>
      </x:c>
      <x:c r="C292" s="49" t="str">
        <x:v>H-WP08</x:v>
      </x:c>
      <x:c r="D292" s="49" t="str">
        <x:v>Hùng</x:v>
      </x:c>
      <x:c r="E292" s="49" t="str">
        <x:v>P2</x:v>
      </x:c>
      <x:c r="F292" s="49" t="str">
        <x:v>KEEP</x:v>
      </x:c>
      <x:c r="G292" s="49" t="str">
        <x:v>Push notification trên mobile</x:v>
      </x:c>
      <x:c r="H292" s="49" t="str">
        <x:v>T09-05</x:v>
      </x:c>
      <x:c r="I292" s="49" t="str">
        <x:v>Thắng</x:v>
      </x:c>
    </x:row>
    <x:row r="293" ht="36" customHeight="1">
      <x:c r="A293" s="49" t="str">
        <x:v>M10-F006</x:v>
      </x:c>
      <x:c r="B293" s="49" t="str">
        <x:v>M10</x:v>
      </x:c>
      <x:c r="C293" s="49" t="str">
        <x:v>H-WP08</x:v>
      </x:c>
      <x:c r="D293" s="49" t="str">
        <x:v>Hùng</x:v>
      </x:c>
      <x:c r="E293" s="49" t="str">
        <x:v>P2</x:v>
      </x:c>
      <x:c r="F293" s="49" t="str">
        <x:v>KEEP</x:v>
      </x:c>
      <x:c r="G293" s="49" t="str">
        <x:v>Cảnh báo chủ động khi entity người dùng từng quét bị nâng lên `DANGER`</x:v>
      </x:c>
      <x:c r="H293" s="49" t="str">
        <x:v>T09-06</x:v>
      </x:c>
      <x:c r="I293" s="49" t="str">
        <x:v>Thắng</x:v>
      </x:c>
    </x:row>
    <x:row r="294" ht="36" customHeight="1">
      <x:c r="A294" s="49" t="str">
        <x:v>M10-F007</x:v>
      </x:c>
      <x:c r="B294" s="49" t="str">
        <x:v>M10</x:v>
      </x:c>
      <x:c r="C294" s="49" t="str">
        <x:v>H-WP08</x:v>
      </x:c>
      <x:c r="D294" s="49" t="str">
        <x:v>Hùng</x:v>
      </x:c>
      <x:c r="E294" s="49" t="str">
        <x:v>P2</x:v>
      </x:c>
      <x:c r="F294" s="49" t="str">
        <x:v>KEEP</x:v>
      </x:c>
      <x:c r="G294" s="49" t="str">
        <x:v>Bản tin tuần về xu hướng lừa đảo mới</x:v>
      </x:c>
      <x:c r="H294" s="49" t="str">
        <x:v>T09-07</x:v>
      </x:c>
      <x:c r="I294" s="49" t="str">
        <x:v>Thắng</x:v>
      </x:c>
    </x:row>
    <x:row r="295" ht="36" customHeight="1">
      <x:c r="A295" s="49" t="str">
        <x:v>M10-F008</x:v>
      </x:c>
      <x:c r="B295" s="49" t="str">
        <x:v>M10</x:v>
      </x:c>
      <x:c r="C295" s="49" t="str">
        <x:v>H-WP10</x:v>
      </x:c>
      <x:c r="D295" s="49" t="str">
        <x:v>Hùng</x:v>
      </x:c>
      <x:c r="E295" s="49" t="str">
        <x:v>P1</x:v>
      </x:c>
      <x:c r="F295" s="49" t="str">
        <x:v>MODIFY</x:v>
      </x:c>
      <x:c r="G295" s="49" t="str">
        <x:v>Producer/domain event được chuẩn hoá thành `notification.requested`; M10 resolve policy/channel/template rồi dispatch delivery, không để notification logic rải rác trong scan/report/auth module.</x:v>
      </x:c>
      <x:c r="H295" s="49" t="str">
        <x:v>ARCH-V3.3-M10</x:v>
      </x:c>
      <x:c r="I295" s="49" t="str">
        <x:v>—</x:v>
      </x:c>
    </x:row>
    <x:row r="296" ht="36" customHeight="1">
      <x:c r="A296" s="49" t="str">
        <x:v>M10-F009</x:v>
      </x:c>
      <x:c r="B296" s="49" t="str">
        <x:v>M10</x:v>
      </x:c>
      <x:c r="C296" s="49" t="str">
        <x:v>H-WP09</x:v>
      </x:c>
      <x:c r="D296" s="49" t="str">
        <x:v>Hùng</x:v>
      </x:c>
      <x:c r="E296" s="49" t="str">
        <x:v>P1</x:v>
      </x:c>
      <x:c r="F296" s="49" t="str">
        <x:v>MODIFY</x:v>
      </x:c>
      <x:c r="G296" s="49" t="str">
        <x:v>Notification consumer idempotent theo `idempotencyKey`/event-recipient; provider retry bounded và không tạo duplicate user-visible message khi provider đầu đã xác nhận success.</x:v>
      </x:c>
      <x:c r="H296" s="49" t="str">
        <x:v>ARCH-V3.3-M10</x:v>
      </x:c>
      <x:c r="I296" s="49" t="str">
        <x:v>—</x:v>
      </x:c>
    </x:row>
    <x:row r="297" ht="36" customHeight="1">
      <x:c r="A297" s="49" t="str">
        <x:v>M10-F010</x:v>
      </x:c>
      <x:c r="B297" s="49" t="str">
        <x:v>M10</x:v>
      </x:c>
      <x:c r="C297" s="49" t="str">
        <x:v>H-WP10</x:v>
      </x:c>
      <x:c r="D297" s="49" t="str">
        <x:v>Hùng</x:v>
      </x:c>
      <x:c r="E297" s="49" t="str">
        <x:v>P0</x:v>
      </x:c>
      <x:c r="F297" s="49" t="str">
        <x:v>ADD</x:v>
      </x:c>
      <x:c r="G297" s="49" t="str">
        <x:v>Transactional auth notification types cho `AUTH_EMAIL_VERIFICATION`, `AUTH_PASSWORD_RESET`, `AUTH_PASSWORD_CHANGE_OTP`, `AUTH_PASSWORD_CHANGED`; M10 chỉ deliver, M01 mới verify/consume challenge.</x:v>
      </x:c>
      <x:c r="H297" s="49" t="str">
        <x:v>MODSPEC-V1.3-M10</x:v>
      </x:c>
      <x:c r="I297" s="49" t="str">
        <x:v>—</x:v>
      </x:c>
    </x:row>
    <x:row r="298" ht="36" customHeight="1">
      <x:c r="A298" s="49" t="str">
        <x:v>M10-F011</x:v>
      </x:c>
      <x:c r="B298" s="49" t="str">
        <x:v>M10</x:v>
      </x:c>
      <x:c r="C298" s="49" t="str">
        <x:v>H-WP10</x:v>
      </x:c>
      <x:c r="D298" s="49" t="str">
        <x:v>Hùng</x:v>
      </x:c>
      <x:c r="E298" s="49" t="str">
        <x:v>P0</x:v>
      </x:c>
      <x:c r="F298" s="49" t="str">
        <x:v>ADD</x:v>
      </x:c>
      <x:c r="G298" s="49" t="str">
        <x:v>Canonical `NotificationRequest` có `eventId`, `correlationId`, `notificationType`, recipient, `channelHints[]`, `templateKey`, `templateData`, resource/deep-link, priority, idempotencyKey, expiresAt.</x:v>
      </x:c>
      <x:c r="H298" s="49" t="str">
        <x:v>MODSPEC-V1.3-M10</x:v>
      </x:c>
      <x:c r="I298" s="49" t="str">
        <x:v>—</x:v>
      </x:c>
    </x:row>
    <x:row r="299" ht="36" customHeight="1">
      <x:c r="A299" s="49" t="str">
        <x:v>M10-F012</x:v>
      </x:c>
      <x:c r="B299" s="49" t="str">
        <x:v>M10</x:v>
      </x:c>
      <x:c r="C299" s="49" t="str">
        <x:v>H-WP10</x:v>
      </x:c>
      <x:c r="D299" s="49" t="str">
        <x:v>Hùng</x:v>
      </x:c>
      <x:c r="E299" s="49" t="str">
        <x:v>P0</x:v>
      </x:c>
      <x:c r="F299" s="49" t="str">
        <x:v>ADD</x:v>
      </x:c>
      <x:c r="G299" s="49" t="str">
        <x:v>Tách `channelKey` khỏi `providerKey`; dùng Channel Resolver + Provider Adapter Registry để thay/add provider mà producer contract không đổi.</x:v>
      </x:c>
      <x:c r="H299" s="49" t="str">
        <x:v>ARCH-V3.3-M10</x:v>
      </x:c>
      <x:c r="I299" s="49" t="str">
        <x:v>—</x:v>
      </x:c>
    </x:row>
    <x:row r="300" ht="36" customHeight="1">
      <x:c r="A300" s="49" t="str">
        <x:v>M10-F013</x:v>
      </x:c>
      <x:c r="B300" s="49" t="str">
        <x:v>M10</x:v>
      </x:c>
      <x:c r="C300" s="49" t="str">
        <x:v>H-WP11</x:v>
      </x:c>
      <x:c r="D300" s="49" t="str">
        <x:v>Hùng</x:v>
      </x:c>
      <x:c r="E300" s="49" t="str">
        <x:v>P1</x:v>
      </x:c>
      <x:c r="F300" s="49" t="str">
        <x:v>ADD</x:v>
      </x:c>
      <x:c r="G300" s="49" t="str">
        <x:v>Quản lý `notification_endpoints` generic theo channel (email, phone, push token, Telegram chat id, ...), hỗ trợ verify/enable/disable và bảo vệ address value.</x:v>
      </x:c>
      <x:c r="H300" s="49" t="str">
        <x:v>SCHEMA-V1.0 + MODSPEC-V1.3</x:v>
      </x:c>
      <x:c r="I300" s="49" t="str">
        <x:v>—</x:v>
      </x:c>
    </x:row>
    <x:row r="301" ht="36" customHeight="1">
      <x:c r="A301" s="49" t="str">
        <x:v>M10-F014</x:v>
      </x:c>
      <x:c r="B301" s="49" t="str">
        <x:v>M10</x:v>
      </x:c>
      <x:c r="C301" s="49" t="str">
        <x:v>H-WP11</x:v>
      </x:c>
      <x:c r="D301" s="49" t="str">
        <x:v>Hùng</x:v>
      </x:c>
      <x:c r="E301" s="49" t="str">
        <x:v>P1</x:v>
      </x:c>
      <x:c r="F301" s="49" t="str">
        <x:v>ADD</x:v>
      </x:c>
      <x:c r="G301" s="49" t="str">
        <x:v>Notification preferences theo notification type/channel; mandatory security notification không được user tắt nếu policy yêu cầu.</x:v>
      </x:c>
      <x:c r="H301" s="49" t="str">
        <x:v>MODSPEC-V1.3-M10</x:v>
      </x:c>
      <x:c r="I301" s="49" t="str">
        <x:v>—</x:v>
      </x:c>
    </x:row>
    <x:row r="302" ht="36" customHeight="1">
      <x:c r="A302" s="49" t="str">
        <x:v>M10-F015</x:v>
      </x:c>
      <x:c r="B302" s="49" t="str">
        <x:v>M10</x:v>
      </x:c>
      <x:c r="C302" s="49" t="str">
        <x:v>H-WP11</x:v>
      </x:c>
      <x:c r="D302" s="49" t="str">
        <x:v>Hùng</x:v>
      </x:c>
      <x:c r="E302" s="49" t="str">
        <x:v>P1</x:v>
      </x:c>
      <x:c r="F302" s="49" t="str">
        <x:v>ADD</x:v>
      </x:c>
      <x:c r="G302" s="49" t="str">
        <x:v>Template resolution bằng `templateKey`, deep-link/resource metadata và authorize lại khi user mở deep link.</x:v>
      </x:c>
      <x:c r="H302" s="49" t="str">
        <x:v>MODSPEC-V1.3-M10</x:v>
      </x:c>
      <x:c r="I302" s="49" t="str">
        <x:v>—</x:v>
      </x:c>
    </x:row>
    <x:row r="303" ht="36" customHeight="1">
      <x:c r="A303" s="49" t="str">
        <x:v>M10-F016</x:v>
      </x:c>
      <x:c r="B303" s="49" t="str">
        <x:v>M10</x:v>
      </x:c>
      <x:c r="C303" s="49" t="str">
        <x:v>H-WP11</x:v>
      </x:c>
      <x:c r="D303" s="49" t="str">
        <x:v>Hùng</x:v>
      </x:c>
      <x:c r="E303" s="49" t="str">
        <x:v>P0</x:v>
      </x:c>
      <x:c r="F303" s="49" t="str">
        <x:v>ADD</x:v>
      </x:c>
      <x:c r="G303" s="49" t="str">
        <x:v>Raw OTP/credential chỉ được truyền transient/encrypted khi cần; không persist/log trong `notification_jobs`, `notification_deliveries`, audit hoặc DLQ lâu dài; message hết `expiresAt` không được gửi.</x:v>
      </x:c>
      <x:c r="H303" s="49" t="str">
        <x:v>ARCH-V3.3 + MODSPEC-V1.3</x:v>
      </x:c>
      <x:c r="I303" s="49" t="str">
        <x:v>—</x:v>
      </x:c>
    </x:row>
    <x:row r="304" ht="36" customHeight="1">
      <x:c r="A304" s="49" t="str">
        <x:v>M10-F017</x:v>
      </x:c>
      <x:c r="B304" s="49" t="str">
        <x:v>M10</x:v>
      </x:c>
      <x:c r="C304" s="49" t="str">
        <x:v>H-WP09</x:v>
      </x:c>
      <x:c r="D304" s="49" t="str">
        <x:v>Hùng</x:v>
      </x:c>
      <x:c r="E304" s="49" t="str">
        <x:v>P1</x:v>
      </x:c>
      <x:c r="F304" s="49" t="str">
        <x:v>ADD</x:v>
      </x:c>
      <x:c r="G304" s="49" t="str">
        <x:v>Theo dõi delivery attempt/status/provider/external message id/sanitized error; provider fallback nếu policy cho phép nhưng không phát duplicate sau success.</x:v>
      </x:c>
      <x:c r="H304" s="49" t="str">
        <x:v>MODSPEC-V1.3-M10</x:v>
      </x:c>
      <x:c r="I304" s="49" t="str">
        <x:v>—</x:v>
      </x:c>
    </x:row>
    <x:row r="305" ht="36" customHeight="1">
      <x:c r="A305" s="49" t="str">
        <x:v>M10-F018</x:v>
      </x:c>
      <x:c r="B305" s="49" t="str">
        <x:v>M10</x:v>
      </x:c>
      <x:c r="C305" s="49" t="str">
        <x:v>H-WP11</x:v>
      </x:c>
      <x:c r="D305" s="49" t="str">
        <x:v>Hùng</x:v>
      </x:c>
      <x:c r="E305" s="49" t="str">
        <x:v>P2</x:v>
      </x:c>
      <x:c r="F305" s="49" t="str">
        <x:v>ADD</x:v>
      </x:c>
      <x:c r="G305" s="49" t="str">
        <x:v>Bổ sung channel tương lai như SMS/Telegram/WhatsApp/Zalo/Discord bằng adapter/config + endpoint/template capability, không sửa schema business event của producer.</x:v>
      </x:c>
      <x:c r="H305" s="49" t="str">
        <x:v>ARCH-V3.3-M10</x:v>
      </x:c>
      <x:c r="I305" s="49" t="str">
        <x:v>—</x:v>
      </x:c>
    </x:row>
    <x:row r="306" ht="36" customHeight="1">
      <x:c r="A306" s="49" t="str">
        <x:v>M11-F001</x:v>
      </x:c>
      <x:c r="B306" s="49" t="str">
        <x:v>M11</x:v>
      </x:c>
      <x:c r="C306" s="49" t="str">
        <x:v>T-WP15</x:v>
      </x:c>
      <x:c r="D306" s="49" t="str">
        <x:v>Thắng</x:v>
      </x:c>
      <x:c r="E306" s="49" t="str">
        <x:v>P0</x:v>
      </x:c>
      <x:c r="F306" s="49" t="str">
        <x:v>MODIFY</x:v>
      </x:c>
      <x:c r="G306" s="49" t="str">
        <x:v>Triển khai **Python AI/ML Worker** consume `q.ai.analyze`; FastAPI nếu giữ chỉ dùng `/health`, `/ready`, diagnostics nội bộ, không phải đường inference của scan.</x:v>
      </x:c>
      <x:c r="H306" s="49" t="str">
        <x:v>ARCH/V3.2 + H11-01</x:v>
      </x:c>
      <x:c r="I306" s="49" t="str">
        <x:v>Hùng</x:v>
      </x:c>
    </x:row>
    <x:row r="307" ht="36" customHeight="1">
      <x:c r="A307" s="49" t="str">
        <x:v>M11-F002</x:v>
      </x:c>
      <x:c r="B307" s="49" t="str">
        <x:v>M11</x:v>
      </x:c>
      <x:c r="C307" s="49" t="str">
        <x:v>T-WP15</x:v>
      </x:c>
      <x:c r="D307" s="49" t="str">
        <x:v>Thắng</x:v>
      </x:c>
      <x:c r="E307" s="49" t="str">
        <x:v>P1</x:v>
      </x:c>
      <x:c r="F307" s="49" t="str">
        <x:v>MODIFY</x:v>
      </x:c>
      <x:c r="G307" s="49" t="str">
        <x:v>Feature flag `ai.enabled`; AI fail/quá `aiTaskDeadline` thì M12 finalize bằng tín hiệu còn lại với `degraded=true`, M09 renormalize thay vì coi AI = 0.</x:v>
      </x:c>
      <x:c r="H307" s="49" t="str">
        <x:v>ARCH/V3.2 + H11-02</x:v>
      </x:c>
      <x:c r="I307" s="49" t="str">
        <x:v>Hùng</x:v>
      </x:c>
    </x:row>
    <x:row r="308" ht="36" customHeight="1">
      <x:c r="A308" s="49" t="str">
        <x:v>M11-F003</x:v>
      </x:c>
      <x:c r="B308" s="49" t="str">
        <x:v>M11</x:v>
      </x:c>
      <x:c r="C308" s="49" t="str">
        <x:v>T-WP15</x:v>
      </x:c>
      <x:c r="D308" s="49" t="str">
        <x:v>Thắng</x:v>
      </x:c>
      <x:c r="E308" s="49" t="str">
        <x:v>P0</x:v>
      </x:c>
      <x:c r="F308" s="49" t="str">
        <x:v>MODIFY</x:v>
      </x:c>
      <x:c r="G308" s="49" t="str">
        <x:v>AI Worker publish `ai.analysis.completed|failed` vào `q.scan.result`; prediction normalized gồm `label`, `probability`, `providerKey`, `modelId`, `modelVersion`, `latencyMs`, không chứa `riskScore`/`riskLevel`.</x:v>
      </x:c>
      <x:c r="H308" s="49" t="str">
        <x:v>ARCH-V3.3 + H11-03</x:v>
      </x:c>
      <x:c r="I308" s="49" t="str">
        <x:v>Hùng</x:v>
      </x:c>
    </x:row>
    <x:row r="309" ht="36" customHeight="1">
      <x:c r="A309" s="49" t="str">
        <x:v>M11-F004</x:v>
      </x:c>
      <x:c r="B309" s="49" t="str">
        <x:v>M11</x:v>
      </x:c>
      <x:c r="C309" s="49" t="str">
        <x:v>T-WP15</x:v>
      </x:c>
      <x:c r="D309" s="49" t="str">
        <x:v>Thắng</x:v>
      </x:c>
      <x:c r="E309" s="49" t="str">
        <x:v>P0</x:v>
      </x:c>
      <x:c r="F309" s="49" t="str">
        <x:v>MODIFY</x:v>
      </x:c>
      <x:c r="G309" s="49" t="str">
        <x:v>AI task/result contract versioned có `eventId`, `correlationId`, `scanId`, `taskId`, `kind`, `deadlineAt`; consumer idempotent theo `eventId` + `taskId`.</x:v>
      </x:c>
      <x:c r="H309" s="49" t="str">
        <x:v>ARCH/V3.2 + H11-04</x:v>
      </x:c>
      <x:c r="I309" s="49" t="str">
        <x:v>Hùng</x:v>
      </x:c>
    </x:row>
    <x:row r="310" ht="36" customHeight="1">
      <x:c r="A310" s="49" t="str">
        <x:v>M11-F005</x:v>
      </x:c>
      <x:c r="B310" s="49" t="str">
        <x:v>M11</x:v>
      </x:c>
      <x:c r="C310" s="49" t="str">
        <x:v>T-WP15</x:v>
      </x:c>
      <x:c r="D310" s="49" t="str">
        <x:v>Thắng</x:v>
      </x:c>
      <x:c r="E310" s="49" t="str">
        <x:v>P1</x:v>
      </x:c>
      <x:c r="F310" s="49" t="str">
        <x:v>MODIFY</x:v>
      </x:c>
      <x:c r="G310" s="49" t="str">
        <x:v>M12/Spring Boot ghép AI result theo `scanId + taskId`, chuyển prediction thành AI `AnalysisSignal`, quản lý barrier rồi mới gọi M09 Risk Fusion.</x:v>
      </x:c>
      <x:c r="H310" s="49" t="str">
        <x:v>ARCH/V3.2 + H11-05</x:v>
      </x:c>
      <x:c r="I310" s="49" t="str">
        <x:v>Hùng</x:v>
      </x:c>
    </x:row>
    <x:row r="311" ht="36" customHeight="1">
      <x:c r="A311" s="49" t="str">
        <x:v>M11-F006</x:v>
      </x:c>
      <x:c r="B311" s="49" t="str">
        <x:v>M11</x:v>
      </x:c>
      <x:c r="C311" s="49" t="str">
        <x:v>T-WP15</x:v>
      </x:c>
      <x:c r="D311" s="49" t="str">
        <x:v>Thắng</x:v>
      </x:c>
      <x:c r="E311" s="49" t="str">
        <x:v>P1</x:v>
      </x:c>
      <x:c r="F311" s="49" t="str">
        <x:v>MODIFY</x:v>
      </x:c>
      <x:c r="G311" s="49" t="str">
        <x:v>Mask/minimize PII trong AI payload; AI Worker không đọc/ghi PostgreSQL/Redis/business tables và không gọi Spring Boot API.</x:v>
      </x:c>
      <x:c r="H311" s="49" t="str">
        <x:v>ARCH/V3.2 + H11-06</x:v>
      </x:c>
      <x:c r="I311" s="49" t="str">
        <x:v>Hùng</x:v>
      </x:c>
    </x:row>
    <x:row r="312" ht="36" customHeight="1">
      <x:c r="A312" s="49" t="str">
        <x:v>M11-F007</x:v>
      </x:c>
      <x:c r="B312" s="49" t="str">
        <x:v>M11</x:v>
      </x:c>
      <x:c r="C312" s="49" t="str">
        <x:v>T-WP17</x:v>
      </x:c>
      <x:c r="D312" s="49" t="str">
        <x:v>Thắng</x:v>
      </x:c>
      <x:c r="E312" s="49" t="str">
        <x:v>P2</x:v>
      </x:c>
      <x:c r="F312" s="49" t="str">
        <x:v>MODIFY</x:v>
      </x:c>
      <x:c r="G312" s="49" t="str">
        <x:v>Nếu dùng LLM/provider ngoài, chống prompt injection và ràng buộc output; LLM/model không được tự thay đổi business verdict.</x:v>
      </x:c>
      <x:c r="H312" s="49" t="str">
        <x:v>ARCH/V3.2 + H11-07</x:v>
      </x:c>
      <x:c r="I312" s="49" t="str">
        <x:v>Hùng</x:v>
      </x:c>
    </x:row>
    <x:row r="313" ht="36" customHeight="1">
      <x:c r="A313" s="49" t="str">
        <x:v>M11-F008</x:v>
      </x:c>
      <x:c r="B313" s="49" t="str">
        <x:v>M11</x:v>
      </x:c>
      <x:c r="C313" s="49" t="str">
        <x:v>T-WP17</x:v>
      </x:c>
      <x:c r="D313" s="49" t="str">
        <x:v>Thắng</x:v>
      </x:c>
      <x:c r="E313" s="49" t="str">
        <x:v>P2</x:v>
      </x:c>
      <x:c r="F313" s="49" t="str">
        <x:v>MODIFY</x:v>
      </x:c>
      <x:c r="G313" s="49" t="str">
        <x:v>Có thể cache inference theo input/model version nếu phù hợp; cache không được thay thế task/result/idempotency contract hoặc làm stale safety signal.</x:v>
      </x:c>
      <x:c r="H313" s="49" t="str">
        <x:v>ARCH/V3.2 + H11-08</x:v>
      </x:c>
      <x:c r="I313" s="49" t="str">
        <x:v>Hùng</x:v>
      </x:c>
    </x:row>
    <x:row r="314" ht="36" customHeight="1">
      <x:c r="A314" s="49" t="str">
        <x:v>M11-F009</x:v>
      </x:c>
      <x:c r="B314" s="49" t="str">
        <x:v>M11</x:v>
      </x:c>
      <x:c r="C314" s="49" t="str">
        <x:v>T-WP16</x:v>
      </x:c>
      <x:c r="D314" s="49" t="str">
        <x:v>Thắng</x:v>
      </x:c>
      <x:c r="E314" s="49" t="str">
        <x:v>P2</x:v>
      </x:c>
      <x:c r="F314" s="49" t="str">
        <x:v>MODIFY</x:v>
      </x:c>
      <x:c r="G314" s="49" t="str">
        <x:v>Local/fine-tuned model (`hf-local`, `custom-local`, Ollama/custom runtime) là provider implementation option; không thay đổi AMQP AI task/result contract.</x:v>
      </x:c>
      <x:c r="H314" s="49" t="str">
        <x:v>ARCH-V3.3 + H11-09</x:v>
      </x:c>
      <x:c r="I314" s="49" t="str">
        <x:v>Hùng</x:v>
      </x:c>
    </x:row>
    <x:row r="315" ht="36" customHeight="1">
      <x:c r="A315" s="49" t="str">
        <x:v>M11-F010</x:v>
      </x:c>
      <x:c r="B315" s="49" t="str">
        <x:v>M11</x:v>
      </x:c>
      <x:c r="C315" s="49" t="str">
        <x:v>T-WP18</x:v>
      </x:c>
      <x:c r="D315" s="49" t="str">
        <x:v>Thắng</x:v>
      </x:c>
      <x:c r="E315" s="49" t="str">
        <x:v>P0</x:v>
      </x:c>
      <x:c r="F315" s="49" t="str">
        <x:v>KEEP</x:v>
      </x:c>
      <x:c r="G315" s="49" t="str">
        <x:v>Bộ test tự động cho từng rule, chạy trong CI</x:v>
      </x:c>
      <x:c r="H315" s="49" t="str">
        <x:v>H12-01</x:v>
      </x:c>
      <x:c r="I315" s="49" t="str">
        <x:v>Hùng</x:v>
      </x:c>
    </x:row>
    <x:row r="316" ht="36" customHeight="1">
      <x:c r="A316" s="49" t="str">
        <x:v>M11-F011</x:v>
      </x:c>
      <x:c r="B316" s="49" t="str">
        <x:v>M11</x:v>
      </x:c>
      <x:c r="C316" s="49" t="str">
        <x:v>T-WP18</x:v>
      </x:c>
      <x:c r="D316" s="49" t="str">
        <x:v>Thắng</x:v>
      </x:c>
      <x:c r="E316" s="49" t="str">
        <x:v>P1</x:v>
      </x:c>
      <x:c r="F316" s="49" t="str">
        <x:v>KEEP</x:v>
      </x:c>
      <x:c r="G316" s="49" t="str">
        <x:v>Xây tập dữ liệu gán nhãn ~300–500 tin nhắn/URL tiếng Việt (scam / không scam)</x:v>
      </x:c>
      <x:c r="H316" s="49" t="str">
        <x:v>H12-02</x:v>
      </x:c>
      <x:c r="I316" s="49" t="str">
        <x:v>Hùng</x:v>
      </x:c>
    </x:row>
    <x:row r="317" ht="36" customHeight="1">
      <x:c r="A317" s="49" t="str">
        <x:v>M11-F012</x:v>
      </x:c>
      <x:c r="B317" s="49" t="str">
        <x:v>M11</x:v>
      </x:c>
      <x:c r="C317" s="49" t="str">
        <x:v>T-WP18</x:v>
      </x:c>
      <x:c r="D317" s="49" t="str">
        <x:v>Thắng</x:v>
      </x:c>
      <x:c r="E317" s="49" t="str">
        <x:v>P1</x:v>
      </x:c>
      <x:c r="F317" s="49" t="str">
        <x:v>MODIFY</x:v>
      </x:c>
      <x:c r="G317" s="49" t="str">
        <x:v>Script đo Precision / Recall / F1 / latency cho các cấu hình rule-reputation, AI-only (nghiên cứu) và hybrid theo cùng tập dữ liệu.</x:v>
      </x:c>
      <x:c r="H317" s="49" t="str">
        <x:v>H12-03</x:v>
      </x:c>
      <x:c r="I317" s="49" t="str">
        <x:v>Hùng</x:v>
      </x:c>
    </x:row>
    <x:row r="318" ht="36" customHeight="1">
      <x:c r="A318" s="49" t="str">
        <x:v>M11-F013</x:v>
      </x:c>
      <x:c r="B318" s="49" t="str">
        <x:v>M11</x:v>
      </x:c>
      <x:c r="C318" s="49" t="str">
        <x:v>T-WP18</x:v>
      </x:c>
      <x:c r="D318" s="49" t="str">
        <x:v>Thắng</x:v>
      </x:c>
      <x:c r="E318" s="49" t="str">
        <x:v>P1</x:v>
      </x:c>
      <x:c r="F318" s="49" t="str">
        <x:v>KEEP</x:v>
      </x:c>
      <x:c r="G318" s="49" t="str">
        <x:v>Ma trận nhầm lẫn và danh sách case sai để phân tích nguyên nhân</x:v>
      </x:c>
      <x:c r="H318" s="49" t="str">
        <x:v>H12-04</x:v>
      </x:c>
      <x:c r="I318" s="49" t="str">
        <x:v>Hùng</x:v>
      </x:c>
    </x:row>
    <x:row r="319" ht="36" customHeight="1">
      <x:c r="A319" s="49" t="str">
        <x:v>M11-F014</x:v>
      </x:c>
      <x:c r="B319" s="49" t="str">
        <x:v>M11</x:v>
      </x:c>
      <x:c r="C319" s="49" t="str">
        <x:v>T-WP18</x:v>
      </x:c>
      <x:c r="D319" s="49" t="str">
        <x:v>Thắng</x:v>
      </x:c>
      <x:c r="E319" s="49" t="str">
        <x:v>P2</x:v>
      </x:c>
      <x:c r="F319" s="49" t="str">
        <x:v>KEEP</x:v>
      </x:c>
      <x:c r="G319" s="49" t="str">
        <x:v>Tinh chỉnh trọng số rule dựa trên số liệu thay vì phỏng đoán</x:v>
      </x:c>
      <x:c r="H319" s="49" t="str">
        <x:v>H12-05</x:v>
      </x:c>
      <x:c r="I319" s="49" t="str">
        <x:v>Hùng</x:v>
      </x:c>
    </x:row>
    <x:row r="320" ht="36" customHeight="1">
      <x:c r="A320" s="49" t="str">
        <x:v>M11-F015</x:v>
      </x:c>
      <x:c r="B320" s="49" t="str">
        <x:v>M11</x:v>
      </x:c>
      <x:c r="C320" s="49" t="str">
        <x:v>T-WP18</x:v>
      </x:c>
      <x:c r="D320" s="49" t="str">
        <x:v>Thắng</x:v>
      </x:c>
      <x:c r="E320" s="49" t="str">
        <x:v>P2</x:v>
      </x:c>
      <x:c r="F320" s="49" t="str">
        <x:v>KEEP</x:v>
      </x:c>
      <x:c r="G320" s="49" t="str">
        <x:v>Theo dõi tỷ lệ báo động giả trên dữ liệu thật sau khi triển khai</x:v>
      </x:c>
      <x:c r="H320" s="49" t="str">
        <x:v>H12-06</x:v>
      </x:c>
      <x:c r="I320" s="49" t="str">
        <x:v>Hùng</x:v>
      </x:c>
    </x:row>
    <x:row r="321" ht="36" customHeight="1">
      <x:c r="A321" s="49" t="str">
        <x:v>M11-F016</x:v>
      </x:c>
      <x:c r="B321" s="49" t="str">
        <x:v>M11</x:v>
      </x:c>
      <x:c r="C321" s="49" t="str">
        <x:v>T-WP18</x:v>
      </x:c>
      <x:c r="D321" s="49" t="str">
        <x:v>Thắng</x:v>
      </x:c>
      <x:c r="E321" s="49" t="str">
        <x:v>P2</x:v>
      </x:c>
      <x:c r="F321" s="49" t="str">
        <x:v>KEEP</x:v>
      </x:c>
      <x:c r="G321" s="49" t="str">
        <x:v>So sánh với công cụ có sẵn (ChongLuaDao, PhishTank) trên cùng tập dữ liệu</x:v>
      </x:c>
      <x:c r="H321" s="49" t="str">
        <x:v>H12-07</x:v>
      </x:c>
      <x:c r="I321" s="49" t="str">
        <x:v>Hùng</x:v>
      </x:c>
    </x:row>
    <x:row r="322" ht="36" customHeight="1">
      <x:c r="A322" s="49" t="str">
        <x:v>M11-F017</x:v>
      </x:c>
      <x:c r="B322" s="49" t="str">
        <x:v>M11</x:v>
      </x:c>
      <x:c r="C322" s="49" t="str">
        <x:v>T-WP15</x:v>
      </x:c>
      <x:c r="D322" s="49" t="str">
        <x:v>Thắng</x:v>
      </x:c>
      <x:c r="E322" s="49" t="str">
        <x:v>P0</x:v>
      </x:c>
      <x:c r="F322" s="49" t="str">
        <x:v>MODIFY</x:v>
      </x:c>
      <x:c r="G322" s="49" t="str">
        <x:v>AI Worker có `handleAiTask`: validate → dedupe task → route model (`URL_FEATURES\|TEXT_CONTENT\|WEB_CONTENT`) → preprocess → inference → publish success/failure.</x:v>
      </x:c>
      <x:c r="H322" s="49" t="str">
        <x:v>ARCH/V3.2 + ARCH-22 (Architecture V3.2)</x:v>
      </x:c>
      <x:c r="I322" s="49" t="str">
        <x:v>—</x:v>
      </x:c>
    </x:row>
    <x:row r="323" ht="36" customHeight="1">
      <x:c r="A323" s="49" t="str">
        <x:v>M11-F018</x:v>
      </x:c>
      <x:c r="B323" s="49" t="str">
        <x:v>M11</x:v>
      </x:c>
      <x:c r="C323" s="49" t="str">
        <x:v>T-WP15</x:v>
      </x:c>
      <x:c r="D323" s="49" t="str">
        <x:v>Thắng</x:v>
      </x:c>
      <x:c r="E323" s="49" t="str">
        <x:v>P0</x:v>
      </x:c>
      <x:c r="F323" s="49" t="str">
        <x:v>MODIFY</x:v>
      </x:c>
      <x:c r="G323" s="49" t="str">
        <x:v>Operational default: `aiTaskDeadline=20s` ở M12, model/LLM timeout=10s trong AI Worker, `prefetch_count=4`; task phải publish FAILED khi timeout/model unavailable; retry exhausted → `q.ai.analyze.dlq`.</x:v>
      </x:c>
      <x:c r="H323" s="49" t="str">
        <x:v>ARCH-V3.3 + ARCH-AI-OPS</x:v>
      </x:c>
      <x:c r="I323" s="49" t="str">
        <x:v>—</x:v>
      </x:c>
    </x:row>
    <x:row r="324" ht="36" customHeight="1">
      <x:c r="A324" s="49" t="str">
        <x:v>M11-F019</x:v>
      </x:c>
      <x:c r="B324" s="49" t="str">
        <x:v>M11</x:v>
      </x:c>
      <x:c r="C324" s="49" t="str">
        <x:v>T-WP16</x:v>
      </x:c>
      <x:c r="D324" s="49" t="str">
        <x:v>Thắng</x:v>
      </x:c>
      <x:c r="E324" s="49" t="str">
        <x:v>P0</x:v>
      </x:c>
      <x:c r="F324" s="49" t="str">
        <x:v>ADD</x:v>
      </x:c>
      <x:c r="G324" s="49" t="str">
        <x:v>Inference Provider Resolver/registry map `kind + inferenceProfile` sang `providerKey + model config`; `providerKey` là extensible string, không phải closed enum.</x:v>
      </x:c>
      <x:c r="H324" s="49" t="str">
        <x:v>ARCH-V3.3-M11</x:v>
      </x:c>
      <x:c r="I324" s="49" t="str">
        <x:v>—</x:v>
      </x:c>
    </x:row>
    <x:row r="325" ht="36" customHeight="1">
      <x:c r="A325" s="49" t="str">
        <x:v>M11-F020</x:v>
      </x:c>
      <x:c r="B325" s="49" t="str">
        <x:v>M11</x:v>
      </x:c>
      <x:c r="C325" s="49" t="str">
        <x:v>T-WP16</x:v>
      </x:c>
      <x:c r="D325" s="49" t="str">
        <x:v>Thắng</x:v>
      </x:c>
      <x:c r="E325" s="49" t="str">
        <x:v>P1</x:v>
      </x:c>
      <x:c r="F325" s="49" t="str">
        <x:v>ADD</x:v>
      </x:c>
      <x:c r="G325" s="49" t="str">
        <x:v>Hỗ trợ provider adapter cho direct API, gateway/aggregator, custom HTTP và local/fine-tuned runtime; mọi output normalize về cùng `AiPrediction`, downstream không branch business rule theo provider/model.</x:v>
      </x:c>
      <x:c r="H325" s="49" t="str">
        <x:v>MODSPEC-V1.3-M11</x:v>
      </x:c>
      <x:c r="I325" s="49" t="str">
        <x:v>—</x:v>
      </x:c>
    </x:row>
    <x:row r="326" ht="36" customHeight="1">
      <x:c r="A326" s="49" t="str">
        <x:v>M12-F001</x:v>
      </x:c>
      <x:c r="B326" s="49" t="str">
        <x:v>M12</x:v>
      </x:c>
      <x:c r="C326" s="49" t="str">
        <x:v>I-WP11</x:v>
      </x:c>
      <x:c r="D326" s="49" t="str">
        <x:v>Kiên</x:v>
      </x:c>
      <x:c r="E326" s="49" t="str">
        <x:v>P0</x:v>
      </x:c>
      <x:c r="F326" s="49" t="str">
        <x:v>MODIFY</x:v>
      </x:c>
      <x:c r="G326" s="49" t="str">
        <x:v>`Idempotency-Key` cho scan mutation qua M12/Redis; TTL là cấu hình của platform, không hard-code 24 giờ và phải gắn với request hash.</x:v>
      </x:c>
      <x:c r="H326" s="49" t="str">
        <x:v>H07-04</x:v>
      </x:c>
      <x:c r="I326" s="49" t="str">
        <x:v>Hùng</x:v>
      </x:c>
    </x:row>
    <x:row r="327" ht="36" customHeight="1">
      <x:c r="A327" s="49" t="str">
        <x:v>M12-F002</x:v>
      </x:c>
      <x:c r="B327" s="49" t="str">
        <x:v>M12</x:v>
      </x:c>
      <x:c r="C327" s="49" t="str">
        <x:v>I-WP11</x:v>
      </x:c>
      <x:c r="D327" s="49" t="str">
        <x:v>Kiên</x:v>
      </x:c>
      <x:c r="E327" s="49" t="str">
        <x:v>P0</x:v>
      </x:c>
      <x:c r="F327" s="49" t="str">
        <x:v>KEEP</x:v>
      </x:c>
      <x:c r="G327" s="49" t="str">
        <x:v>Trùng key nhưng khác request hash → trả `409 IDEMPOTENCY_KEY_CONFLICT`</x:v>
      </x:c>
      <x:c r="H327" s="49" t="str">
        <x:v>H07-05</x:v>
      </x:c>
      <x:c r="I327" s="49" t="str">
        <x:v>Hùng</x:v>
      </x:c>
    </x:row>
    <x:row r="328" ht="36" customHeight="1">
      <x:c r="A328" s="49" t="str">
        <x:v>M12-F003</x:v>
      </x:c>
      <x:c r="B328" s="49" t="str">
        <x:v>M12</x:v>
      </x:c>
      <x:c r="C328" s="49" t="str">
        <x:v>I-WP11</x:v>
      </x:c>
      <x:c r="D328" s="49" t="str">
        <x:v>Kiên</x:v>
      </x:c>
      <x:c r="E328" s="49" t="str">
        <x:v>P1</x:v>
      </x:c>
      <x:c r="F328" s="49" t="str">
        <x:v>KEEP</x:v>
      </x:c>
      <x:c r="G328" s="49" t="str">
        <x:v>Trả `429` kèm header `Retry-After` và thông báo thân thiện</x:v>
      </x:c>
      <x:c r="H328" s="49" t="str">
        <x:v>H07-06</x:v>
      </x:c>
      <x:c r="I328" s="49" t="str">
        <x:v>Hùng</x:v>
      </x:c>
    </x:row>
    <x:row r="329" ht="36" customHeight="1">
      <x:c r="A329" s="49" t="str">
        <x:v>M12-F004</x:v>
      </x:c>
      <x:c r="B329" s="49" t="str">
        <x:v>M12</x:v>
      </x:c>
      <x:c r="C329" s="49" t="str">
        <x:v>I-WP11</x:v>
      </x:c>
      <x:c r="D329" s="49" t="str">
        <x:v>Kiên</x:v>
      </x:c>
      <x:c r="E329" s="49" t="str">
        <x:v>P0</x:v>
      </x:c>
      <x:c r="F329" s="49" t="str">
        <x:v>ADD</x:v>
      </x:c>
      <x:c r="G329" s="49" t="str">
        <x:v>`ScanTypeResolver` + `ProcessorRegistry/JobRouter` map `URL`, `TEXT`, `ENTITY`, `QR` sang routing key/worker phù hợp.</x:v>
      </x:c>
      <x:c r="H329" s="49" t="str">
        <x:v>ARCH-24 (Architecture V3.2)</x:v>
      </x:c>
      <x:c r="I329" s="49" t="str">
        <x:v>—</x:v>
      </x:c>
    </x:row>
    <x:row r="330" ht="36" customHeight="1">
      <x:c r="A330" s="49" t="str">
        <x:v>M12-F005</x:v>
      </x:c>
      <x:c r="B330" s="49" t="str">
        <x:v>M12</x:v>
      </x:c>
      <x:c r="C330" s="49" t="str">
        <x:v>I-WP12</x:v>
      </x:c>
      <x:c r="D330" s="49" t="str">
        <x:v>Kiên</x:v>
      </x:c>
      <x:c r="E330" s="49" t="str">
        <x:v>P0</x:v>
      </x:c>
      <x:c r="F330" s="49" t="str">
        <x:v>ADD</x:v>
      </x:c>
      <x:c r="G330" s="49" t="str">
        <x:v>Scan lifecycle thống nhất `PENDING -&gt; PROCESSING -&gt; COMPLETED \| FAILED`; không để scan treo `PROCESSING` vô hạn.</x:v>
      </x:c>
      <x:c r="H330" s="49" t="str">
        <x:v>ARCH-25 (Architecture V3.2)</x:v>
      </x:c>
      <x:c r="I330" s="49" t="str">
        <x:v>—</x:v>
      </x:c>
    </x:row>
    <x:row r="331" ht="36" customHeight="1">
      <x:c r="A331" s="49" t="str">
        <x:v>M12-F006</x:v>
      </x:c>
      <x:c r="B331" s="49" t="str">
        <x:v>M12</x:v>
      </x:c>
      <x:c r="C331" s="49" t="str">
        <x:v>I-WP12</x:v>
      </x:c>
      <x:c r="D331" s="49" t="str">
        <x:v>Kiên</x:v>
      </x:c>
      <x:c r="E331" s="49" t="str">
        <x:v>P0</x:v>
      </x:c>
      <x:c r="F331" s="49" t="str">
        <x:v>ADD</x:v>
      </x:c>
      <x:c r="G331" s="49" t="str">
        <x:v>Worker Result Consumer nhận kết quả qua `q.scan.result`, validate schema, deduplicate event và chuyển signal vào Signal Aggregator.</x:v>
      </x:c>
      <x:c r="H331" s="49" t="str">
        <x:v>ARCH-26 (Architecture V3.2)</x:v>
      </x:c>
      <x:c r="I331" s="49" t="str">
        <x:v>—</x:v>
      </x:c>
    </x:row>
    <x:row r="332" ht="36" customHeight="1">
      <x:c r="A332" s="49" t="str">
        <x:v>M12-F007</x:v>
      </x:c>
      <x:c r="B332" s="49" t="str">
        <x:v>M12</x:v>
      </x:c>
      <x:c r="C332" s="49" t="str">
        <x:v>I-WP12</x:v>
      </x:c>
      <x:c r="D332" s="49" t="str">
        <x:v>Kiên</x:v>
      </x:c>
      <x:c r="E332" s="49" t="str">
        <x:v>P0</x:v>
      </x:c>
      <x:c r="F332" s="49" t="str">
        <x:v>ADD</x:v>
      </x:c>
      <x:c r="G332" s="49" t="str">
        <x:v>Async event envelope có `eventId`, `jobId`, `correlationId`, `eventVersion`, `attempt`, `scanId`, processor/model version để trace pipeline.</x:v>
      </x:c>
      <x:c r="H332" s="49" t="str">
        <x:v>ARCH-27 (Architecture V3.2)</x:v>
      </x:c>
      <x:c r="I332" s="49" t="str">
        <x:v>—</x:v>
      </x:c>
    </x:row>
    <x:row r="333" ht="36" customHeight="1">
      <x:c r="A333" s="49" t="str">
        <x:v>M12-F008</x:v>
      </x:c>
      <x:c r="B333" s="49" t="str">
        <x:v>M12</x:v>
      </x:c>
      <x:c r="C333" s="49" t="str">
        <x:v>I-WP12</x:v>
      </x:c>
      <x:c r="D333" s="49" t="str">
        <x:v>Kiên</x:v>
      </x:c>
      <x:c r="E333" s="49" t="str">
        <x:v>P0</x:v>
      </x:c>
      <x:c r="F333" s="49" t="str">
        <x:v>ADD</x:v>
      </x:c>
      <x:c r="G333" s="49" t="str">
        <x:v>RabbitMQ at-least-once -&gt; consumer phải idempotent theo `eventId`, duplicate ACK/ignore và không double-count signal.</x:v>
      </x:c>
      <x:c r="H333" s="49" t="str">
        <x:v>ARCH-28 (Architecture V3.2)</x:v>
      </x:c>
      <x:c r="I333" s="49" t="str">
        <x:v>—</x:v>
      </x:c>
    </x:row>
    <x:row r="334" ht="36" customHeight="1">
      <x:c r="A334" s="49" t="str">
        <x:v>M12-F009</x:v>
      </x:c>
      <x:c r="B334" s="49" t="str">
        <x:v>M12</x:v>
      </x:c>
      <x:c r="C334" s="49" t="str">
        <x:v>I-WP13</x:v>
      </x:c>
      <x:c r="D334" s="49" t="str">
        <x:v>Kiên</x:v>
      </x:c>
      <x:c r="E334" s="49" t="str">
        <x:v>P0</x:v>
      </x:c>
      <x:c r="F334" s="49" t="str">
        <x:v>ADD</x:v>
      </x:c>
      <x:c r="G334" s="49" t="str">
        <x:v>Nested scan dùng PostgreSQL `scan_relations` làm source of truth và Redis làm temporary barrier/counter.</x:v>
      </x:c>
      <x:c r="H334" s="49" t="str">
        <x:v>ARCH-29 (Architecture V3.2)</x:v>
      </x:c>
      <x:c r="I334" s="49" t="str">
        <x:v>—</x:v>
      </x:c>
    </x:row>
    <x:row r="335" ht="36" customHeight="1">
      <x:c r="A335" s="49" t="str">
        <x:v>M12-F010</x:v>
      </x:c>
      <x:c r="B335" s="49" t="str">
        <x:v>M12</x:v>
      </x:c>
      <x:c r="C335" s="49" t="str">
        <x:v>I-WP13</x:v>
      </x:c>
      <x:c r="D335" s="49" t="str">
        <x:v>Kiên</x:v>
      </x:c>
      <x:c r="E335" s="49" t="str">
        <x:v>P0</x:v>
      </x:c>
      <x:c r="F335" s="49" t="str">
        <x:v>ADD</x:v>
      </x:c>
      <x:c r="G335" s="49" t="str">
        <x:v>Nested scan: parent deadline 30 giây, `maxDepth=2`, cycle detection bằng normalized indicator hash/visited set.</x:v>
      </x:c>
      <x:c r="H335" s="49" t="str">
        <x:v>ARCH-30 (Architecture V3.2)</x:v>
      </x:c>
      <x:c r="I335" s="49" t="str">
        <x:v>—</x:v>
      </x:c>
    </x:row>
    <x:row r="336" ht="36" customHeight="1">
      <x:c r="A336" s="49" t="str">
        <x:v>M12-F011</x:v>
      </x:c>
      <x:c r="B336" s="49" t="str">
        <x:v>M12</x:v>
      </x:c>
      <x:c r="C336" s="49" t="str">
        <x:v>I-WP13</x:v>
      </x:c>
      <x:c r="D336" s="49" t="str">
        <x:v>Kiên</x:v>
      </x:c>
      <x:c r="E336" s="49" t="str">
        <x:v>P0</x:v>
      </x:c>
      <x:c r="F336" s="49" t="str">
        <x:v>ADD</x:v>
      </x:c>
      <x:c r="G336" s="49" t="str">
        <x:v>Child fail/timeout không nhất thiết fail parent; finalize bằng signal hiện có và `degraded=true` khi đủ dữ liệu.</x:v>
      </x:c>
      <x:c r="H336" s="49" t="str">
        <x:v>ARCH-31 (Architecture V3.2)</x:v>
      </x:c>
      <x:c r="I336" s="49" t="str">
        <x:v>—</x:v>
      </x:c>
    </x:row>
    <x:row r="337" ht="36" customHeight="1">
      <x:c r="A337" s="49" t="str">
        <x:v>M12-F012</x:v>
      </x:c>
      <x:c r="B337" s="49" t="str">
        <x:v>M12</x:v>
      </x:c>
      <x:c r="C337" s="49" t="str">
        <x:v>I-WP12</x:v>
      </x:c>
      <x:c r="D337" s="49" t="str">
        <x:v>Kiên</x:v>
      </x:c>
      <x:c r="E337" s="49" t="str">
        <x:v>P0</x:v>
      </x:c>
      <x:c r="F337" s="49" t="str">
        <x:v>ADD</x:v>
      </x:c>
      <x:c r="G337" s="49" t="str">
        <x:v>Worker delivery policy: attempt đầu + tối đa 2 retry; exhausted -&gt; DLQ tương ứng, không auto-retry vô hạn.</x:v>
      </x:c>
      <x:c r="H337" s="49" t="str">
        <x:v>ARCH-32 (Architecture V3.2)</x:v>
      </x:c>
      <x:c r="I337" s="49" t="str">
        <x:v>—</x:v>
      </x:c>
    </x:row>
    <x:row r="338" ht="36" customHeight="1">
      <x:c r="A338" s="49" t="str">
        <x:v>M12-F013</x:v>
      </x:c>
      <x:c r="B338" s="49" t="str">
        <x:v>M12</x:v>
      </x:c>
      <x:c r="C338" s="49" t="str">
        <x:v>I-WP14</x:v>
      </x:c>
      <x:c r="D338" s="49" t="str">
        <x:v>Kiên</x:v>
      </x:c>
      <x:c r="E338" s="49" t="str">
        <x:v>P0</x:v>
      </x:c>
      <x:c r="F338" s="49" t="str">
        <x:v>ADD</x:v>
      </x:c>
      <x:c r="G338" s="49" t="str">
        <x:v>RabbitMQ topology có `q.ai.analyze` + `q.ai.analyze.dlq`; routing `ai.analysis.requested`, `ai.analysis.completed`, `ai.analysis.failed`; AI result đi vào `q.scan.result`.</x:v>
      </x:c>
      <x:c r="H338" s="49" t="str">
        <x:v>ARCH-V3.2-M12-01</x:v>
      </x:c>
      <x:c r="I338" s="49" t="str">
        <x:v>—</x:v>
      </x:c>
    </x:row>
    <x:row r="339" ht="36" customHeight="1">
      <x:c r="A339" s="49" t="str">
        <x:v>M12-F014</x:v>
      </x:c>
      <x:c r="B339" s="49" t="str">
        <x:v>M12</x:v>
      </x:c>
      <x:c r="C339" s="49" t="str">
        <x:v>I-WP14</x:v>
      </x:c>
      <x:c r="D339" s="49" t="str">
        <x:v>Kiên</x:v>
      </x:c>
      <x:c r="E339" s="49" t="str">
        <x:v>P0</x:v>
      </x:c>
      <x:c r="F339" s="49" t="str">
        <x:v>ADD</x:v>
      </x:c>
      <x:c r="G339" s="49" t="str">
        <x:v>PostgreSQL `scan_ai_tasks` là source of truth cho AI task chờ; Redis chỉ giữ `expectedAiTasks/completedAiTasks` và barrier tạm thời.</x:v>
      </x:c>
      <x:c r="H339" s="49" t="str">
        <x:v>ARCH-V3.2-M12-02</x:v>
      </x:c>
      <x:c r="I339" s="49" t="str">
        <x:v>—</x:v>
      </x:c>
    </x:row>
    <x:row r="340" ht="36" customHeight="1">
      <x:c r="A340" s="49" t="str">
        <x:v>M12-F015</x:v>
      </x:c>
      <x:c r="B340" s="49" t="str">
        <x:v>M12</x:v>
      </x:c>
      <x:c r="C340" s="49" t="str">
        <x:v>I-WP14</x:v>
      </x:c>
      <x:c r="D340" s="49" t="str">
        <x:v>Kiên</x:v>
      </x:c>
      <x:c r="E340" s="49" t="str">
        <x:v>P0</x:v>
      </x:c>
      <x:c r="F340" s="49" t="str">
        <x:v>ADD</x:v>
      </x:c>
      <x:c r="G340" s="49" t="str">
        <x:v>Completion barrier đếm **child scans + AI tasks**; `aiTaskDeadline=20s`, parent deadline=30s. Hết AI deadline → bỏ task treo, `degraded=true`, renormalize.</x:v>
      </x:c>
      <x:c r="H340" s="49" t="str">
        <x:v>ARCH-V3.2-M12-03</x:v>
      </x:c>
      <x:c r="I340" s="49" t="str">
        <x:v>—</x:v>
      </x:c>
    </x:row>
    <x:row r="341" ht="36" customHeight="1">
      <x:c r="A341" s="49" t="str">
        <x:v>M12-F016</x:v>
      </x:c>
      <x:c r="B341" s="49" t="str">
        <x:v>M12</x:v>
      </x:c>
      <x:c r="C341" s="49" t="str">
        <x:v>I-WP14</x:v>
      </x:c>
      <x:c r="D341" s="49" t="str">
        <x:v>Kiên</x:v>
      </x:c>
      <x:c r="E341" s="49" t="str">
        <x:v>P0</x:v>
      </x:c>
      <x:c r="F341" s="49" t="str">
        <x:v>ADD</x:v>
      </x:c>
      <x:c r="G341" s="49" t="str">
        <x:v>Xử lý race: AI result về trước worker result thì park theo `scanId` rồi match khi `pendingAiTasks[]` xuất hiện; AI result về sau COMPLETED chỉ ghi late signal/audit, không mutate `RiskResult`.</x:v>
      </x:c>
      <x:c r="H341" s="49" t="str">
        <x:v>ARCH-V3.2-M12-04</x:v>
      </x:c>
      <x:c r="I341" s="49" t="str">
        <x:v>—</x:v>
      </x:c>
    </x:row>
    <x:row r="342" ht="36" customHeight="1">
      <x:c r="A342" s="49" t="str">
        <x:v>M12-F017</x:v>
      </x:c>
      <x:c r="B342" s="49" t="str">
        <x:v>M12</x:v>
      </x:c>
      <x:c r="C342" s="49" t="str">
        <x:v>I-WP13</x:v>
      </x:c>
      <x:c r="D342" s="49" t="str">
        <x:v>Kiên</x:v>
      </x:c>
      <x:c r="E342" s="49" t="str">
        <x:v>P0</x:v>
      </x:c>
      <x:c r="F342" s="49" t="str">
        <x:v>ADD</x:v>
      </x:c>
      <x:c r="G342" s="49" t="str">
        <x:v>Scanner/AI worker chỉ giao tiếp qua RabbitMQ, không route tới PostgreSQL/Redis/Spring Boot API; M12 xử lý `DerivedIndicator.handling` và deferred reputation/child-scan policy.</x:v>
      </x:c>
      <x:c r="H342" s="49" t="str">
        <x:v>ARCH-V3.2-M12-05</x:v>
      </x:c>
      <x:c r="I342" s="49" t="str">
        <x:v>—</x:v>
      </x:c>
    </x:row>
    <x:row r="343" ht="36" customHeight="1">
      <x:c r="A343" s="49" t="str">
        <x:v>M12-F018</x:v>
      </x:c>
      <x:c r="B343" s="49" t="str">
        <x:v>M12</x:v>
      </x:c>
      <x:c r="C343" s="49" t="str">
        <x:v>I-WP11</x:v>
      </x:c>
      <x:c r="D343" s="49" t="str">
        <x:v>Kiên</x:v>
      </x:c>
      <x:c r="E343" s="49" t="str">
        <x:v>P0</x:v>
      </x:c>
      <x:c r="F343" s="49" t="str">
        <x:v>ADD</x:v>
      </x:c>
      <x:c r="G343" s="49" t="str">
        <x:v>M12 nhận `AccessContext`/`EntitlementContext` và enforce Guest/Free ownership + quota trước khi dispatch; GUEST được scan public inputs, FREE có persistent history, cả hai dùng logical `inferenceProfile=standard` trong MVP.</x:v>
      </x:c>
      <x:c r="H343" s="49" t="str">
        <x:v>MODSPEC-V1.3-M12</x:v>
      </x:c>
      <x:c r="I343" s="49" t="str">
        <x:v>—</x:v>
      </x:c>
    </x:row>
    <x:row r="344" ht="36" customHeight="1">
      <x:c r="A344" s="49" t="str">
        <x:v>M12-F019</x:v>
      </x:c>
      <x:c r="B344" s="49" t="str">
        <x:v>M12</x:v>
      </x:c>
      <x:c r="C344" s="49" t="str">
        <x:v>I-WP11</x:v>
      </x:c>
      <x:c r="D344" s="49" t="str">
        <x:v>Kiên</x:v>
      </x:c>
      <x:c r="E344" s="49" t="str">
        <x:v>P0</x:v>
      </x:c>
      <x:c r="F344" s="49" t="str">
        <x:v>ADD</x:v>
      </x:c>
      <x:c r="G344" s="49" t="str">
        <x:v>`scanId` không phải authorization token: đọc result/history phải kiểm tra guest-session ownership hoặc user ownership; Guest không có persistent account history.</x:v>
      </x:c>
      <x:c r="H344" s="49" t="str">
        <x:v>MODSPEC-V1.3-M12</x:v>
      </x:c>
      <x:c r="I344" s="49" t="str">
        <x:v>—</x:v>
      </x:c>
    </x:row>
    <x:row r="345" ht="36" customHeight="1">
      <x:c r="A345" s="49" t="str">
        <x:v>M13-F001</x:v>
      </x:c>
      <x:c r="B345" s="49" t="str">
        <x:v>M13</x:v>
      </x:c>
      <x:c r="C345" s="49" t="str">
        <x:v>H-WP12</x:v>
      </x:c>
      <x:c r="D345" s="49" t="str">
        <x:v>Hùng</x:v>
      </x:c>
      <x:c r="E345" s="49" t="str">
        <x:v>P0</x:v>
      </x:c>
      <x:c r="F345" s="49" t="str">
        <x:v>KEEP</x:v>
      </x:c>
      <x:c r="G345" s="49" t="str">
        <x:v>Không lưu mật khẩu, OTP, số thẻ, CVV của người dùng dưới bất kỳ dạng nào</x:v>
      </x:c>
      <x:c r="H345" s="49" t="str">
        <x:v>H08-01</x:v>
      </x:c>
      <x:c r="I345" s="49" t="str">
        <x:v>Hùng</x:v>
      </x:c>
    </x:row>
    <x:row r="346" ht="36" customHeight="1">
      <x:c r="A346" s="49" t="str">
        <x:v>M13-F002</x:v>
      </x:c>
      <x:c r="B346" s="49" t="str">
        <x:v>M13</x:v>
      </x:c>
      <x:c r="C346" s="49" t="str">
        <x:v>H-WP12</x:v>
      </x:c>
      <x:c r="D346" s="49" t="str">
        <x:v>Hùng</x:v>
      </x:c>
      <x:c r="E346" s="49" t="str">
        <x:v>P0</x:v>
      </x:c>
      <x:c r="F346" s="49" t="str">
        <x:v>KEEP</x:v>
      </x:c>
      <x:c r="G346" s="49" t="str">
        <x:v>Che dữ liệu nhạy cảm trong log (số tài khoản → `****1234`, SĐT → `+849****678`)</x:v>
      </x:c>
      <x:c r="H346" s="49" t="str">
        <x:v>H08-02</x:v>
      </x:c>
      <x:c r="I346" s="49" t="str">
        <x:v>Hùng</x:v>
      </x:c>
    </x:row>
    <x:row r="347" ht="36" customHeight="1">
      <x:c r="A347" s="49" t="str">
        <x:v>M13-F003</x:v>
      </x:c>
      <x:c r="B347" s="49" t="str">
        <x:v>M13</x:v>
      </x:c>
      <x:c r="C347" s="49" t="str">
        <x:v>H-WP13</x:v>
      </x:c>
      <x:c r="D347" s="49" t="str">
        <x:v>Hùng</x:v>
      </x:c>
      <x:c r="E347" s="49" t="str">
        <x:v>P0</x:v>
      </x:c>
      <x:c r="F347" s="49" t="str">
        <x:v>MODIFY</x:v>
      </x:c>
      <x:c r="G347" s="49" t="str">
        <x:v>Docker Compose local/dev gồm PostgreSQL, Redis, RabbitMQ, MinIO, Spring Boot, scanner workers, Python AI/ML Worker, Notification Delivery Worker, Report Export Worker, Threat Ingestion Worker, Web/Admin/Mobile dev dependencies và Nginx theo Architecture V3.3.</x:v>
      </x:c>
      <x:c r="H347" s="49" t="str">
        <x:v>K11-01 + V3.3</x:v>
      </x:c>
      <x:c r="I347" s="49" t="str">
        <x:v>Khải</x:v>
      </x:c>
    </x:row>
    <x:row r="348" ht="36" customHeight="1">
      <x:c r="A348" s="49" t="str">
        <x:v>M13-F004</x:v>
      </x:c>
      <x:c r="B348" s="49" t="str">
        <x:v>M13</x:v>
      </x:c>
      <x:c r="C348" s="49" t="str">
        <x:v>H-WP13</x:v>
      </x:c>
      <x:c r="D348" s="49" t="str">
        <x:v>Hùng</x:v>
      </x:c>
      <x:c r="E348" s="49" t="str">
        <x:v>P0</x:v>
      </x:c>
      <x:c r="F348" s="49" t="str">
        <x:v>KEEP</x:v>
      </x:c>
      <x:c r="G348" s="49" t="str">
        <x:v>Dockerfile cho từng service, dùng multi-stage build</x:v>
      </x:c>
      <x:c r="H348" s="49" t="str">
        <x:v>K11-02</x:v>
      </x:c>
      <x:c r="I348" s="49" t="str">
        <x:v>Khải</x:v>
      </x:c>
    </x:row>
    <x:row r="349" ht="36" customHeight="1">
      <x:c r="A349" s="49" t="str">
        <x:v>M13-F005</x:v>
      </x:c>
      <x:c r="B349" s="49" t="str">
        <x:v>M13</x:v>
      </x:c>
      <x:c r="C349" s="49" t="str">
        <x:v>H-WP12</x:v>
      </x:c>
      <x:c r="D349" s="49" t="str">
        <x:v>Hùng</x:v>
      </x:c>
      <x:c r="E349" s="49" t="str">
        <x:v>P0</x:v>
      </x:c>
      <x:c r="F349" s="49" t="str">
        <x:v>MODIFY</x:v>
      </x:c>
      <x:c r="G349" s="49" t="str">
        <x:v>Cấu hình qua environment/secret management; không hardcode/commit JWT signing key, OAuth client secret, AI provider credential hay notification provider credential.</x:v>
      </x:c>
      <x:c r="H349" s="49" t="str">
        <x:v>K11-03 + V3.3</x:v>
      </x:c>
      <x:c r="I349" s="49" t="str">
        <x:v>Khải</x:v>
      </x:c>
    </x:row>
    <x:row r="350" ht="36" customHeight="1">
      <x:c r="A350" s="49" t="str">
        <x:v>M13-F006</x:v>
      </x:c>
      <x:c r="B350" s="49" t="str">
        <x:v>M13</x:v>
      </x:c>
      <x:c r="C350" s="49" t="str">
        <x:v>H-WP13</x:v>
      </x:c>
      <x:c r="D350" s="49" t="str">
        <x:v>Hùng</x:v>
      </x:c>
      <x:c r="E350" s="49" t="str">
        <x:v>P0</x:v>
      </x:c>
      <x:c r="F350" s="49" t="str">
        <x:v>MODIFY</x:v>
      </x:c>
      <x:c r="G350" s="49" t="str">
        <x:v>Health/readiness cho Spring Boot, scanner workers, AI Worker, Notification Worker, Report Export/Threat Ingestion và dependency chính; FastAPI nếu dùng cho AI chỉ giữ health/readiness/diagnostics.</x:v>
      </x:c>
      <x:c r="H350" s="49" t="str">
        <x:v>K11-04 + V3.3</x:v>
      </x:c>
      <x:c r="I350" s="49" t="str">
        <x:v>Khải</x:v>
      </x:c>
    </x:row>
    <x:row r="351" ht="36" customHeight="1">
      <x:c r="A351" s="49" t="str">
        <x:v>M13-F007</x:v>
      </x:c>
      <x:c r="B351" s="49" t="str">
        <x:v>M13</x:v>
      </x:c>
      <x:c r="C351" s="49" t="str">
        <x:v>H-WP13</x:v>
      </x:c>
      <x:c r="D351" s="49" t="str">
        <x:v>Hùng</x:v>
      </x:c>
      <x:c r="E351" s="49" t="str">
        <x:v>P1</x:v>
      </x:c>
      <x:c r="F351" s="49" t="str">
        <x:v>KEEP</x:v>
      </x:c>
      <x:c r="G351" s="49" t="str">
        <x:v>`docker-compose.prod.yml` kèm Nginx và TLS Let's Encrypt</x:v>
      </x:c>
      <x:c r="H351" s="49" t="str">
        <x:v>K11-05</x:v>
      </x:c>
      <x:c r="I351" s="49" t="str">
        <x:v>Khải</x:v>
      </x:c>
    </x:row>
    <x:row r="352" ht="36" customHeight="1">
      <x:c r="A352" s="49" t="str">
        <x:v>M13-F008</x:v>
      </x:c>
      <x:c r="B352" s="49" t="str">
        <x:v>M13</x:v>
      </x:c>
      <x:c r="C352" s="49" t="str">
        <x:v>H-WP13</x:v>
      </x:c>
      <x:c r="D352" s="49" t="str">
        <x:v>Hùng</x:v>
      </x:c>
      <x:c r="E352" s="49" t="str">
        <x:v>P1</x:v>
      </x:c>
      <x:c r="F352" s="49" t="str">
        <x:v>MODIFY</x:v>
      </x:c>
      <x:c r="G352" s="49" t="str">
        <x:v>RabbitMQ và MinIO là thành phần kiến trúc hiện tại, cấu hình ngay trong local stack; không coi là addon chỉ tới “M4”.</x:v>
      </x:c>
      <x:c r="H352" s="49" t="str">
        <x:v>K11-06</x:v>
      </x:c>
      <x:c r="I352" s="49" t="str">
        <x:v>Khải</x:v>
      </x:c>
    </x:row>
    <x:row r="353" ht="36" customHeight="1">
      <x:c r="A353" s="49" t="str">
        <x:v>M13-F009</x:v>
      </x:c>
      <x:c r="B353" s="49" t="str">
        <x:v>M13</x:v>
      </x:c>
      <x:c r="C353" s="49" t="str">
        <x:v>H-WP13</x:v>
      </x:c>
      <x:c r="D353" s="49" t="str">
        <x:v>Hùng</x:v>
      </x:c>
      <x:c r="E353" s="49" t="str">
        <x:v>P1</x:v>
      </x:c>
      <x:c r="F353" s="49" t="str">
        <x:v>KEEP</x:v>
      </x:c>
      <x:c r="G353" s="49" t="str">
        <x:v>Script khởi tạo và migration cơ sở dữ liệu (Flyway/Liquibase)</x:v>
      </x:c>
      <x:c r="H353" s="49" t="str">
        <x:v>K11-07</x:v>
      </x:c>
      <x:c r="I353" s="49" t="str">
        <x:v>Khải</x:v>
      </x:c>
    </x:row>
    <x:row r="354" ht="36" customHeight="1">
      <x:c r="A354" s="49" t="str">
        <x:v>M13-F010</x:v>
      </x:c>
      <x:c r="B354" s="49" t="str">
        <x:v>M13</x:v>
      </x:c>
      <x:c r="C354" s="49" t="str">
        <x:v>H-WP13</x:v>
      </x:c>
      <x:c r="D354" s="49" t="str">
        <x:v>Hùng</x:v>
      </x:c>
      <x:c r="E354" s="49" t="str">
        <x:v>P1</x:v>
      </x:c>
      <x:c r="F354" s="49" t="str">
        <x:v>KEEP</x:v>
      </x:c>
      <x:c r="G354" s="49" t="str">
        <x:v>Sao lưu và phục hồi PostgreSQL định kỳ</x:v>
      </x:c>
      <x:c r="H354" s="49" t="str">
        <x:v>K11-08</x:v>
      </x:c>
      <x:c r="I354" s="49" t="str">
        <x:v>Khải</x:v>
      </x:c>
    </x:row>
    <x:row r="355" ht="36" customHeight="1">
      <x:c r="A355" s="49" t="str">
        <x:v>M13-F011</x:v>
      </x:c>
      <x:c r="B355" s="49" t="str">
        <x:v>M13</x:v>
      </x:c>
      <x:c r="C355" s="49" t="str">
        <x:v>H-WP13</x:v>
      </x:c>
      <x:c r="D355" s="49" t="str">
        <x:v>Hùng</x:v>
      </x:c>
      <x:c r="E355" s="49" t="str">
        <x:v>P2</x:v>
      </x:c>
      <x:c r="F355" s="49" t="str">
        <x:v>KEEP</x:v>
      </x:c>
      <x:c r="G355" s="49" t="str">
        <x:v>Triển khai lên EC2/VPS bằng script một lệnh</x:v>
      </x:c>
      <x:c r="H355" s="49" t="str">
        <x:v>K11-09</x:v>
      </x:c>
      <x:c r="I355" s="49" t="str">
        <x:v>Khải</x:v>
      </x:c>
    </x:row>
    <x:row r="356" ht="36" customHeight="1">
      <x:c r="A356" s="49" t="str">
        <x:v>M13-F012</x:v>
      </x:c>
      <x:c r="B356" s="49" t="str">
        <x:v>M13</x:v>
      </x:c>
      <x:c r="C356" s="49" t="str">
        <x:v>H-WP14</x:v>
      </x:c>
      <x:c r="D356" s="49" t="str">
        <x:v>Hùng</x:v>
      </x:c>
      <x:c r="E356" s="49" t="str">
        <x:v>P0</x:v>
      </x:c>
      <x:c r="F356" s="49" t="str">
        <x:v>KEEP</x:v>
      </x:c>
      <x:c r="G356" s="49" t="str">
        <x:v>GitHub Actions chạy test của cả 3 service trên mỗi pull request</x:v>
      </x:c>
      <x:c r="H356" s="49" t="str">
        <x:v>K12-01</x:v>
      </x:c>
      <x:c r="I356" s="49" t="str">
        <x:v>Khải</x:v>
      </x:c>
    </x:row>
    <x:row r="357" ht="36" customHeight="1">
      <x:c r="A357" s="49" t="str">
        <x:v>M13-F013</x:v>
      </x:c>
      <x:c r="B357" s="49" t="str">
        <x:v>M13</x:v>
      </x:c>
      <x:c r="C357" s="49" t="str">
        <x:v>H-WP14</x:v>
      </x:c>
      <x:c r="D357" s="49" t="str">
        <x:v>Hùng</x:v>
      </x:c>
      <x:c r="E357" s="49" t="str">
        <x:v>P0</x:v>
      </x:c>
      <x:c r="F357" s="49" t="str">
        <x:v>KEEP</x:v>
      </x:c>
      <x:c r="G357" s="49" t="str">
        <x:v>Chặn merge khi test đỏ</x:v>
      </x:c>
      <x:c r="H357" s="49" t="str">
        <x:v>K12-02</x:v>
      </x:c>
      <x:c r="I357" s="49" t="str">
        <x:v>Khải</x:v>
      </x:c>
    </x:row>
    <x:row r="358" ht="36" customHeight="1">
      <x:c r="A358" s="49" t="str">
        <x:v>M13-F014</x:v>
      </x:c>
      <x:c r="B358" s="49" t="str">
        <x:v>M13</x:v>
      </x:c>
      <x:c r="C358" s="49" t="str">
        <x:v>H-WP14</x:v>
      </x:c>
      <x:c r="D358" s="49" t="str">
        <x:v>Hùng</x:v>
      </x:c>
      <x:c r="E358" s="49" t="str">
        <x:v>P1</x:v>
      </x:c>
      <x:c r="F358" s="49" t="str">
        <x:v>KEEP</x:v>
      </x:c>
      <x:c r="G358" s="49" t="str">
        <x:v>Kiểm tra định dạng và lint (Checkstyle, ruff, ESLint)</x:v>
      </x:c>
      <x:c r="H358" s="49" t="str">
        <x:v>K12-03</x:v>
      </x:c>
      <x:c r="I358" s="49" t="str">
        <x:v>Khải</x:v>
      </x:c>
    </x:row>
    <x:row r="359" ht="36" customHeight="1">
      <x:c r="A359" s="49" t="str">
        <x:v>M13-F015</x:v>
      </x:c>
      <x:c r="B359" s="49" t="str">
        <x:v>M13</x:v>
      </x:c>
      <x:c r="C359" s="49" t="str">
        <x:v>H-WP14</x:v>
      </x:c>
      <x:c r="D359" s="49" t="str">
        <x:v>Hùng</x:v>
      </x:c>
      <x:c r="E359" s="49" t="str">
        <x:v>P1</x:v>
      </x:c>
      <x:c r="F359" s="49" t="str">
        <x:v>KEEP</x:v>
      </x:c>
      <x:c r="G359" s="49" t="str">
        <x:v>Đo độ phủ test, hiển thị badge</x:v>
      </x:c>
      <x:c r="H359" s="49" t="str">
        <x:v>K12-04</x:v>
      </x:c>
      <x:c r="I359" s="49" t="str">
        <x:v>Khải</x:v>
      </x:c>
    </x:row>
    <x:row r="360" ht="36" customHeight="1">
      <x:c r="A360" s="49" t="str">
        <x:v>M13-F016</x:v>
      </x:c>
      <x:c r="B360" s="49" t="str">
        <x:v>M13</x:v>
      </x:c>
      <x:c r="C360" s="49" t="str">
        <x:v>H-WP14</x:v>
      </x:c>
      <x:c r="D360" s="49" t="str">
        <x:v>Hùng</x:v>
      </x:c>
      <x:c r="E360" s="49" t="str">
        <x:v>P1</x:v>
      </x:c>
      <x:c r="F360" s="49" t="str">
        <x:v>KEEP</x:v>
      </x:c>
      <x:c r="G360" s="49" t="str">
        <x:v>Log có cấu trúc (JSON) kèm `X-Request-Id` xuyên suốt mọi hop</x:v>
      </x:c>
      <x:c r="H360" s="49" t="str">
        <x:v>K12-05</x:v>
      </x:c>
      <x:c r="I360" s="49" t="str">
        <x:v>Khải</x:v>
      </x:c>
    </x:row>
    <x:row r="361" ht="36" customHeight="1">
      <x:c r="A361" s="49" t="str">
        <x:v>M13-F017</x:v>
      </x:c>
      <x:c r="B361" s="49" t="str">
        <x:v>M13</x:v>
      </x:c>
      <x:c r="C361" s="49" t="str">
        <x:v>H-WP14</x:v>
      </x:c>
      <x:c r="D361" s="49" t="str">
        <x:v>Hùng</x:v>
      </x:c>
      <x:c r="E361" s="49" t="str">
        <x:v>P1</x:v>
      </x:c>
      <x:c r="F361" s="49" t="str">
        <x:v>KEEP</x:v>
      </x:c>
      <x:c r="G361" s="49" t="str">
        <x:v>Quét lỗ hổng phụ thuộc (Dependabot / OWASP Dependency-Check)</x:v>
      </x:c>
      <x:c r="H361" s="49" t="str">
        <x:v>K12-06</x:v>
      </x:c>
      <x:c r="I361" s="49" t="str">
        <x:v>Khải</x:v>
      </x:c>
    </x:row>
    <x:row r="362" ht="36" customHeight="1">
      <x:c r="A362" s="49" t="str">
        <x:v>M13-F018</x:v>
      </x:c>
      <x:c r="B362" s="49" t="str">
        <x:v>M13</x:v>
      </x:c>
      <x:c r="C362" s="49" t="str">
        <x:v>H-WP15</x:v>
      </x:c>
      <x:c r="D362" s="49" t="str">
        <x:v>Hùng</x:v>
      </x:c>
      <x:c r="E362" s="49" t="str">
        <x:v>P2</x:v>
      </x:c>
      <x:c r="F362" s="49" t="str">
        <x:v>KEEP</x:v>
      </x:c>
      <x:c r="G362" s="49" t="str">
        <x:v>Metrics Prometheus + dashboard Grafana</x:v>
      </x:c>
      <x:c r="H362" s="49" t="str">
        <x:v>K12-07</x:v>
      </x:c>
      <x:c r="I362" s="49" t="str">
        <x:v>Khải</x:v>
      </x:c>
    </x:row>
    <x:row r="363" ht="36" customHeight="1">
      <x:c r="A363" s="49" t="str">
        <x:v>M13-F019</x:v>
      </x:c>
      <x:c r="B363" s="49" t="str">
        <x:v>M13</x:v>
      </x:c>
      <x:c r="C363" s="49" t="str">
        <x:v>H-WP15</x:v>
      </x:c>
      <x:c r="D363" s="49" t="str">
        <x:v>Hùng</x:v>
      </x:c>
      <x:c r="E363" s="49" t="str">
        <x:v>P2</x:v>
      </x:c>
      <x:c r="F363" s="49" t="str">
        <x:v>KEEP</x:v>
      </x:c>
      <x:c r="G363" s="49" t="str">
        <x:v>Cảnh báo khi tỷ lệ lỗi hoặc độ trễ vượt ngưỡng</x:v>
      </x:c>
      <x:c r="H363" s="49" t="str">
        <x:v>K12-08</x:v>
      </x:c>
      <x:c r="I363" s="49" t="str">
        <x:v>Khải</x:v>
      </x:c>
    </x:row>
    <x:row r="364" ht="36" customHeight="1">
      <x:c r="A364" s="49" t="str">
        <x:v>M13-F020</x:v>
      </x:c>
      <x:c r="B364" s="49" t="str">
        <x:v>M13</x:v>
      </x:c>
      <x:c r="C364" s="49" t="str">
        <x:v>H-WP14</x:v>
      </x:c>
      <x:c r="D364" s="49" t="str">
        <x:v>Hùng</x:v>
      </x:c>
      <x:c r="E364" s="49" t="str">
        <x:v>P2</x:v>
      </x:c>
      <x:c r="F364" s="49" t="str">
        <x:v>KEEP</x:v>
      </x:c>
      <x:c r="G364" s="49" t="str">
        <x:v>Tự động build và đẩy image khi merge vào `main`</x:v>
      </x:c>
      <x:c r="H364" s="49" t="str">
        <x:v>K12-09</x:v>
      </x:c>
      <x:c r="I364" s="49" t="str">
        <x:v>Khải</x:v>
      </x:c>
    </x:row>
    <x:row r="365" ht="36" customHeight="1">
      <x:c r="A365" s="49" t="str">
        <x:v>M13-F021</x:v>
      </x:c>
      <x:c r="B365" s="49" t="str">
        <x:v>M13</x:v>
      </x:c>
      <x:c r="C365" s="49" t="str">
        <x:v>H-WP16</x:v>
      </x:c>
      <x:c r="D365" s="49" t="str">
        <x:v>Hùng</x:v>
      </x:c>
      <x:c r="E365" s="49" t="str">
        <x:v>P1</x:v>
      </x:c>
      <x:c r="F365" s="49" t="str">
        <x:v>KEEP</x:v>
      </x:c>
      <x:c r="G365" s="49" t="str">
        <x:v>Tách toàn bộ chuỗi giao diện ra file ngôn ngữ, mặc định tiếng Việt</x:v>
      </x:c>
      <x:c r="H365" s="49" t="str">
        <x:v>R12-01</x:v>
      </x:c>
      <x:c r="I365" s="49" t="str">
        <x:v>Kiên</x:v>
      </x:c>
    </x:row>
    <x:row r="366" ht="36" customHeight="1">
      <x:c r="A366" s="49" t="str">
        <x:v>M13-F022</x:v>
      </x:c>
      <x:c r="B366" s="49" t="str">
        <x:v>M13</x:v>
      </x:c>
      <x:c r="C366" s="49" t="str">
        <x:v>H-WP16</x:v>
      </x:c>
      <x:c r="D366" s="49" t="str">
        <x:v>Hùng</x:v>
      </x:c>
      <x:c r="E366" s="49" t="str">
        <x:v>P1</x:v>
      </x:c>
      <x:c r="F366" s="49" t="str">
        <x:v>KEEP</x:v>
      </x:c>
      <x:c r="G366" s="49" t="str">
        <x:v>Tương phản màu và cỡ chữ đạt WCAG AA</x:v>
      </x:c>
      <x:c r="H366" s="49" t="str">
        <x:v>R12-02</x:v>
      </x:c>
      <x:c r="I366" s="49" t="str">
        <x:v>Kiên</x:v>
      </x:c>
    </x:row>
    <x:row r="367" ht="36" customHeight="1">
      <x:c r="A367" s="49" t="str">
        <x:v>M13-F023</x:v>
      </x:c>
      <x:c r="B367" s="49" t="str">
        <x:v>M13</x:v>
      </x:c>
      <x:c r="C367" s="49" t="str">
        <x:v>H-WP16</x:v>
      </x:c>
      <x:c r="D367" s="49" t="str">
        <x:v>Hùng</x:v>
      </x:c>
      <x:c r="E367" s="49" t="str">
        <x:v>P1</x:v>
      </x:c>
      <x:c r="F367" s="49" t="str">
        <x:v>KEEP</x:v>
      </x:c>
      <x:c r="G367" s="49" t="str">
        <x:v>Điều hướng được hoàn toàn bằng bàn phím</x:v>
      </x:c>
      <x:c r="H367" s="49" t="str">
        <x:v>R12-03</x:v>
      </x:c>
      <x:c r="I367" s="49" t="str">
        <x:v>Kiên</x:v>
      </x:c>
    </x:row>
    <x:row r="368" ht="36" customHeight="1">
      <x:c r="A368" s="49" t="str">
        <x:v>M13-F024</x:v>
      </x:c>
      <x:c r="B368" s="49" t="str">
        <x:v>M13</x:v>
      </x:c>
      <x:c r="C368" s="49" t="str">
        <x:v>H-WP16</x:v>
      </x:c>
      <x:c r="D368" s="49" t="str">
        <x:v>Hùng</x:v>
      </x:c>
      <x:c r="E368" s="49" t="str">
        <x:v>P1</x:v>
      </x:c>
      <x:c r="F368" s="49" t="str">
        <x:v>KEEP</x:v>
      </x:c>
      <x:c r="G368" s="49" t="str">
        <x:v>Không truyền đạt thông tin chỉ bằng màu (kèm biểu tượng và chữ cho SAFE/CAUTION/DANGER)</x:v>
      </x:c>
      <x:c r="H368" s="49" t="str">
        <x:v>R12-04</x:v>
      </x:c>
      <x:c r="I368" s="49" t="str">
        <x:v>Kiên</x:v>
      </x:c>
    </x:row>
    <x:row r="369" ht="36" customHeight="1">
      <x:c r="A369" s="49" t="str">
        <x:v>M13-F025</x:v>
      </x:c>
      <x:c r="B369" s="49" t="str">
        <x:v>M13</x:v>
      </x:c>
      <x:c r="C369" s="49" t="str">
        <x:v>H-WP16</x:v>
      </x:c>
      <x:c r="D369" s="49" t="str">
        <x:v>Hùng</x:v>
      </x:c>
      <x:c r="E369" s="49" t="str">
        <x:v>P2</x:v>
      </x:c>
      <x:c r="F369" s="49" t="str">
        <x:v>KEEP</x:v>
      </x:c>
      <x:c r="G369" s="49" t="str">
        <x:v>Bản dịch tiếng Anh</x:v>
      </x:c>
      <x:c r="H369" s="49" t="str">
        <x:v>R12-05</x:v>
      </x:c>
      <x:c r="I369" s="49" t="str">
        <x:v>Kiên</x:v>
      </x:c>
    </x:row>
    <x:row r="370" ht="36" customHeight="1">
      <x:c r="A370" s="49" t="str">
        <x:v>M13-F026</x:v>
      </x:c>
      <x:c r="B370" s="49" t="str">
        <x:v>M13</x:v>
      </x:c>
      <x:c r="C370" s="49" t="str">
        <x:v>H-WP16</x:v>
      </x:c>
      <x:c r="D370" s="49" t="str">
        <x:v>Hùng</x:v>
      </x:c>
      <x:c r="E370" s="49" t="str">
        <x:v>P2</x:v>
      </x:c>
      <x:c r="F370" s="49" t="str">
        <x:v>KEEP</x:v>
      </x:c>
      <x:c r="G370" s="49" t="str">
        <x:v>Nhãn ARIA và kiểm thử với trình đọc màn hình</x:v>
      </x:c>
      <x:c r="H370" s="49" t="str">
        <x:v>R12-06</x:v>
      </x:c>
      <x:c r="I370" s="49" t="str">
        <x:v>Kiên</x:v>
      </x:c>
    </x:row>
    <x:row r="371" ht="36" customHeight="1">
      <x:c r="A371" s="49" t="str">
        <x:v>M13-F027</x:v>
      </x:c>
      <x:c r="B371" s="49" t="str">
        <x:v>M13</x:v>
      </x:c>
      <x:c r="C371" s="49" t="str">
        <x:v>H-WP16</x:v>
      </x:c>
      <x:c r="D371" s="49" t="str">
        <x:v>Hùng</x:v>
      </x:c>
      <x:c r="E371" s="49" t="str">
        <x:v>P2</x:v>
      </x:c>
      <x:c r="F371" s="49" t="str">
        <x:v>KEEP</x:v>
      </x:c>
      <x:c r="G371" s="49" t="str">
        <x:v>Chế độ chữ lớn dành cho người cao tuổi</x:v>
      </x:c>
      <x:c r="H371" s="49" t="str">
        <x:v>R12-07</x:v>
      </x:c>
      <x:c r="I371" s="49" t="str">
        <x:v>Kiên</x:v>
      </x:c>
    </x:row>
    <x:row r="372" ht="36" customHeight="1">
      <x:c r="A372" s="49" t="str">
        <x:v>M13-F028</x:v>
      </x:c>
      <x:c r="B372" s="49" t="str">
        <x:v>M13</x:v>
      </x:c>
      <x:c r="C372" s="49" t="str">
        <x:v>H-WP16</x:v>
      </x:c>
      <x:c r="D372" s="49" t="str">
        <x:v>Hùng</x:v>
      </x:c>
      <x:c r="E372" s="49" t="str">
        <x:v>P0</x:v>
      </x:c>
      <x:c r="F372" s="49" t="str">
        <x:v>KEEP</x:v>
      </x:c>
      <x:c r="G372" s="49" t="str">
        <x:v>Share Target nhận link và văn bản từ Zalo/Messenger/SMS, tự định tuyến theo nội dung</x:v>
      </x:c>
      <x:c r="H372" s="49" t="str">
        <x:v>T11-04</x:v>
      </x:c>
      <x:c r="I372" s="49" t="str">
        <x:v>Thắng</x:v>
      </x:c>
    </x:row>
    <x:row r="373" ht="36" customHeight="1">
      <x:c r="A373" s="49" t="str">
        <x:v>M13-F029</x:v>
      </x:c>
      <x:c r="B373" s="49" t="str">
        <x:v>M13</x:v>
      </x:c>
      <x:c r="C373" s="49" t="str">
        <x:v>H-WP16</x:v>
      </x:c>
      <x:c r="D373" s="49" t="str">
        <x:v>Hùng</x:v>
      </x:c>
      <x:c r="E373" s="49" t="str">
        <x:v>P2</x:v>
      </x:c>
      <x:c r="F373" s="49" t="str">
        <x:v>FUTURE_SCOPE</x:v>
      </x:c>
      <x:c r="G373" s="49" t="str">
        <x:v>Widget quét nhanh trên màn hình chính</x:v>
      </x:c>
      <x:c r="H373" s="49" t="str">
        <x:v>T11-08</x:v>
      </x:c>
      <x:c r="I373" s="49" t="str">
        <x:v>Thắng</x:v>
      </x:c>
    </x:row>
    <x:row r="374" ht="36" customHeight="1">
      <x:c r="A374" s="49" t="str">
        <x:v>M13-F030</x:v>
      </x:c>
      <x:c r="B374" s="49" t="str">
        <x:v>M13</x:v>
      </x:c>
      <x:c r="C374" s="49" t="str">
        <x:v>H-WP17</x:v>
      </x:c>
      <x:c r="D374" s="49" t="str">
        <x:v>Hùng</x:v>
      </x:c>
      <x:c r="E374" s="49" t="str">
        <x:v>P0</x:v>
      </x:c>
      <x:c r="F374" s="49" t="str">
        <x:v>MODIFY</x:v>
      </x:c>
      <x:c r="G374" s="49" t="str">
        <x:v>RabbitMQ topology chuẩn: `antiscan.topic`, `antiscan.dlx`, queues `q.scan.url|text|entity|qr`, `q.ai.analyze`, `q.scan.result`, `q.report.export`, `q.notification`, `q.threat.ingest` + DLQ tương ứng.</x:v>
      </x:c>
      <x:c r="H374" s="49" t="str">
        <x:v>ARCH-V3.3-MQ</x:v>
      </x:c>
      <x:c r="I374" s="49" t="str">
        <x:v>—</x:v>
      </x:c>
    </x:row>
    <x:row r="375" ht="36" customHeight="1">
      <x:c r="A375" s="49" t="str">
        <x:v>M13-F031</x:v>
      </x:c>
      <x:c r="B375" s="49" t="str">
        <x:v>M13</x:v>
      </x:c>
      <x:c r="C375" s="49" t="str">
        <x:v>H-WP17</x:v>
      </x:c>
      <x:c r="D375" s="49" t="str">
        <x:v>Hùng</x:v>
      </x:c>
      <x:c r="E375" s="49" t="str">
        <x:v>P0</x:v>
      </x:c>
      <x:c r="F375" s="49" t="str">
        <x:v>MODIFY</x:v>
      </x:c>
      <x:c r="G375" s="49" t="str">
        <x:v>PostgreSQL là source of truth; Redis chỉ cache/session-revocation/rate-limit/idempotency/lock/temporary coordination và không giữ canonical business data duy nhất.</x:v>
      </x:c>
      <x:c r="H375" s="49" t="str">
        <x:v>ARCH-V3.3-DATA</x:v>
      </x:c>
      <x:c r="I375" s="49" t="str">
        <x:v>—</x:v>
      </x:c>
    </x:row>
    <x:row r="376" ht="36" customHeight="1">
      <x:c r="A376" s="49" t="str">
        <x:v>M13-F032</x:v>
      </x:c>
      <x:c r="B376" s="49" t="str">
        <x:v>M13</x:v>
      </x:c>
      <x:c r="C376" s="49" t="str">
        <x:v>H-WP17</x:v>
      </x:c>
      <x:c r="D376" s="49" t="str">
        <x:v>Hùng</x:v>
      </x:c>
      <x:c r="E376" s="49" t="str">
        <x:v>P0</x:v>
      </x:c>
      <x:c r="F376" s="49" t="str">
        <x:v>ADD</x:v>
      </x:c>
      <x:c r="G376" s="49" t="str">
        <x:v>Nginx chịu TLS/reverse proxy/coarse IP-flood limit; Spring Boot + Redis chịu business quota theo user/account/API identity.</x:v>
      </x:c>
      <x:c r="H376" s="49" t="str">
        <x:v>ARCH-35 (Architecture V3.2)</x:v>
      </x:c>
      <x:c r="I376" s="49" t="str">
        <x:v>—</x:v>
      </x:c>
    </x:row>
    <x:row r="377" ht="36" customHeight="1">
      <x:c r="A377" s="49" t="str">
        <x:v>M13-F033</x:v>
      </x:c>
      <x:c r="B377" s="49" t="str">
        <x:v>M13</x:v>
      </x:c>
      <x:c r="C377" s="49" t="str">
        <x:v>H-WP17</x:v>
      </x:c>
      <x:c r="D377" s="49" t="str">
        <x:v>Hùng</x:v>
      </x:c>
      <x:c r="E377" s="49" t="str">
        <x:v>P0</x:v>
      </x:c>
      <x:c r="F377" s="49" t="str">
        <x:v>ADD</x:v>
      </x:c>
      <x:c r="G377" s="49" t="str">
        <x:v>MinIO/S3 lưu evidence/export/binary; PostgreSQL chỉ lưu metadata/object key/hash/MIME/size/owner relation.</x:v>
      </x:c>
      <x:c r="H377" s="49" t="str">
        <x:v>ARCH-36 (Architecture V3.2)</x:v>
      </x:c>
      <x:c r="I377" s="49" t="str">
        <x:v>—</x:v>
      </x:c>
    </x:row>
    <x:row r="378" ht="36" customHeight="1">
      <x:c r="A378" s="49" t="str">
        <x:v>M13-F034</x:v>
      </x:c>
      <x:c r="B378" s="49" t="str">
        <x:v>M13</x:v>
      </x:c>
      <x:c r="C378" s="49" t="str">
        <x:v>H-WP17</x:v>
      </x:c>
      <x:c r="D378" s="49" t="str">
        <x:v>Hùng</x:v>
      </x:c>
      <x:c r="E378" s="49" t="str">
        <x:v>P0</x:v>
      </x:c>
      <x:c r="F378" s="49" t="str">
        <x:v>ADD</x:v>
      </x:c>
      <x:c r="G378" s="49" t="str">
        <x:v>Network segmentation/egress policy: scanner/AI worker không truy cập PostgreSQL/Redis/core API; URL Worker chỉ thêm outbound public fetch SSRF-safe; AI/Notification worker chỉ thêm egress tới provider được cấu hình; Ingestion Worker tới feed + PG/Redis.</x:v>
      </x:c>
      <x:c r="H378" s="49" t="str">
        <x:v>ARCH-V3.3-NET</x:v>
      </x:c>
      <x:c r="I378" s="49" t="str">
        <x:v>—</x:v>
      </x:c>
    </x:row>
    <x:row r="379" ht="36" customHeight="1">
      <x:c r="A379" s="49" t="str">
        <x:v>M13-F035</x:v>
      </x:c>
      <x:c r="B379" s="49" t="str">
        <x:v>M13</x:v>
      </x:c>
      <x:c r="C379" s="49" t="str">
        <x:v>H-WP12</x:v>
      </x:c>
      <x:c r="D379" s="49" t="str">
        <x:v>Hùng</x:v>
      </x:c>
      <x:c r="E379" s="49" t="str">
        <x:v>P0</x:v>
      </x:c>
      <x:c r="F379" s="49" t="str">
        <x:v>ADD</x:v>
      </x:c>
      <x:c r="G379" s="49" t="str">
        <x:v>Quản lý secret/key tập trung cho JWT signing keys, OAuth/OIDC client credentials, AI provider credentials và notification provider credentials; rotate được và không lưu raw secret trong business tables.</x:v>
      </x:c>
      <x:c r="H379" s="49" t="str">
        <x:v>ARCH-V3.3-SECRETS</x:v>
      </x:c>
      <x:c r="I379" s="49" t="str">
        <x:v>—</x:v>
      </x:c>
    </x:row>
    <x:row r="380" ht="36" customHeight="1">
      <x:c r="A380" s="49" t="str">
        <x:v>M14-F001</x:v>
      </x:c>
      <x:c r="B380" s="49" t="str">
        <x:v>M14</x:v>
      </x:c>
      <x:c r="C380" s="49" t="str">
        <x:v>I-WP15</x:v>
      </x:c>
      <x:c r="D380" s="49" t="str">
        <x:v>Kiên</x:v>
      </x:c>
      <x:c r="E380" s="49" t="str">
        <x:v>P0</x:v>
      </x:c>
      <x:c r="F380" s="49" t="str">
        <x:v>MODIFY</x:v>
      </x:c>
      <x:c r="G380" s="49" t="str">
        <x:v>Audit thao tác nhạy cảm: login/logout, refresh-token reuse/session revoke, password reset/change, admin duyệt báo cáo và admin sửa rule/policy.</x:v>
      </x:c>
      <x:c r="H380" s="49" t="str">
        <x:v>H05-01 + V3.3</x:v>
      </x:c>
      <x:c r="I380" s="49" t="str">
        <x:v>Hùng</x:v>
      </x:c>
    </x:row>
    <x:row r="381" ht="36" customHeight="1">
      <x:c r="A381" s="49" t="str">
        <x:v>M14-F002</x:v>
      </x:c>
      <x:c r="B381" s="49" t="str">
        <x:v>M14</x:v>
      </x:c>
      <x:c r="C381" s="49" t="str">
        <x:v>I-WP15</x:v>
      </x:c>
      <x:c r="D381" s="49" t="str">
        <x:v>Kiên</x:v>
      </x:c>
      <x:c r="E381" s="49" t="str">
        <x:v>P0</x:v>
      </x:c>
      <x:c r="F381" s="49" t="str">
        <x:v>MODIFY</x:v>
      </x:c>
      <x:c r="G381" s="49" t="str">
        <x:v>Persist `audit_records`/`admin_actions` theo append-only semantics phù hợp; không để module khác tự tạo schema audit riêng.</x:v>
      </x:c>
      <x:c r="H381" s="49" t="str">
        <x:v>H05-02</x:v>
      </x:c>
      <x:c r="I381" s="49" t="str">
        <x:v>Hùng</x:v>
      </x:c>
    </x:row>
    <x:row r="382" ht="36" customHeight="1">
      <x:c r="A382" s="49" t="str">
        <x:v>M14-F003</x:v>
      </x:c>
      <x:c r="B382" s="49" t="str">
        <x:v>M14</x:v>
      </x:c>
      <x:c r="C382" s="49" t="str">
        <x:v>I-WP15</x:v>
      </x:c>
      <x:c r="D382" s="49" t="str">
        <x:v>Kiên</x:v>
      </x:c>
      <x:c r="E382" s="49" t="str">
        <x:v>P0</x:v>
      </x:c>
      <x:c r="F382" s="49" t="str">
        <x:v>KEEP</x:v>
      </x:c>
      <x:c r="G382" s="49" t="str">
        <x:v>Lưu `X-Request-Id` (correlation ID) trong mỗi bản ghi</x:v>
      </x:c>
      <x:c r="H382" s="49" t="str">
        <x:v>H05-03</x:v>
      </x:c>
      <x:c r="I382" s="49" t="str">
        <x:v>Hùng</x:v>
      </x:c>
    </x:row>
    <x:row r="383" ht="36" customHeight="1">
      <x:c r="A383" s="49" t="str">
        <x:v>M14-F004</x:v>
      </x:c>
      <x:c r="B383" s="49" t="str">
        <x:v>M14</x:v>
      </x:c>
      <x:c r="C383" s="49" t="str">
        <x:v>I-WP17</x:v>
      </x:c>
      <x:c r="D383" s="49" t="str">
        <x:v>Kiên</x:v>
      </x:c>
      <x:c r="E383" s="49" t="str">
        <x:v>P1</x:v>
      </x:c>
      <x:c r="F383" s="49" t="str">
        <x:v>KEEP</x:v>
      </x:c>
      <x:c r="G383" s="49" t="str">
        <x:v>Trang xem audit log cho admin, lọc theo user / hành động / khoảng thời gian</x:v>
      </x:c>
      <x:c r="H383" s="49" t="str">
        <x:v>H05-04</x:v>
      </x:c>
      <x:c r="I383" s="49" t="str">
        <x:v>Hùng</x:v>
      </x:c>
    </x:row>
    <x:row r="384" ht="36" customHeight="1">
      <x:c r="A384" s="49" t="str">
        <x:v>M14-F005</x:v>
      </x:c>
      <x:c r="B384" s="49" t="str">
        <x:v>M14</x:v>
      </x:c>
      <x:c r="C384" s="49" t="str">
        <x:v>I-WP17</x:v>
      </x:c>
      <x:c r="D384" s="49" t="str">
        <x:v>Kiên</x:v>
      </x:c>
      <x:c r="E384" s="49" t="str">
        <x:v>P1</x:v>
      </x:c>
      <x:c r="F384" s="49" t="str">
        <x:v>KEEP</x:v>
      </x:c>
      <x:c r="G384" s="49" t="str">
        <x:v>Ghi kèm IP và User-Agent</x:v>
      </x:c>
      <x:c r="H384" s="49" t="str">
        <x:v>H05-05</x:v>
      </x:c>
      <x:c r="I384" s="49" t="str">
        <x:v>Hùng</x:v>
      </x:c>
    </x:row>
    <x:row r="385" ht="36" customHeight="1">
      <x:c r="A385" s="49" t="str">
        <x:v>M14-F006</x:v>
      </x:c>
      <x:c r="B385" s="49" t="str">
        <x:v>M14</x:v>
      </x:c>
      <x:c r="C385" s="49" t="str">
        <x:v>I-WP17</x:v>
      </x:c>
      <x:c r="D385" s="49" t="str">
        <x:v>Kiên</x:v>
      </x:c>
      <x:c r="E385" s="49" t="str">
        <x:v>P2</x:v>
      </x:c>
      <x:c r="F385" s="49" t="str">
        <x:v>KEEP</x:v>
      </x:c>
      <x:c r="G385" s="49" t="str">
        <x:v>Xuất audit log ra CSV phục vụ điều tra</x:v>
      </x:c>
      <x:c r="H385" s="49" t="str">
        <x:v>H05-06</x:v>
      </x:c>
      <x:c r="I385" s="49" t="str">
        <x:v>Hùng</x:v>
      </x:c>
    </x:row>
    <x:row r="386" ht="36" customHeight="1">
      <x:c r="A386" s="49" t="str">
        <x:v>M14-F007</x:v>
      </x:c>
      <x:c r="B386" s="49" t="str">
        <x:v>M14</x:v>
      </x:c>
      <x:c r="C386" s="49" t="str">
        <x:v>I-WP17</x:v>
      </x:c>
      <x:c r="D386" s="49" t="str">
        <x:v>Kiên</x:v>
      </x:c>
      <x:c r="E386" s="49" t="str">
        <x:v>P2</x:v>
      </x:c>
      <x:c r="F386" s="49" t="str">
        <x:v>KEEP</x:v>
      </x:c>
      <x:c r="G386" s="49" t="str">
        <x:v>Cảnh báo khi phát hiện chuỗi thao tác bất thường</x:v>
      </x:c>
      <x:c r="H386" s="49" t="str">
        <x:v>H05-07</x:v>
      </x:c>
      <x:c r="I386" s="49" t="str">
        <x:v>Hùng</x:v>
      </x:c>
    </x:row>
    <x:row r="387" ht="36" customHeight="1">
      <x:c r="A387" s="49" t="str">
        <x:v>M14-F008</x:v>
      </x:c>
      <x:c r="B387" s="49" t="str">
        <x:v>M14</x:v>
      </x:c>
      <x:c r="C387" s="49" t="str">
        <x:v>I-WP16</x:v>
      </x:c>
      <x:c r="D387" s="49" t="str">
        <x:v>Kiên</x:v>
      </x:c>
      <x:c r="E387" s="49" t="str">
        <x:v>P0</x:v>
      </x:c>
      <x:c r="F387" s="49" t="str">
        <x:v>ADD</x:v>
      </x:c>
      <x:c r="G387" s="49" t="str">
        <x:v>Chuẩn hóa correlation metadata xuyên pipeline: `correlationId`, `eventId`, `jobId`, `taskId`, `scanId`, `processorVersion`, `eventVersion`; cho phép truy vết từ request tới worker/AI/DLQ.</x:v>
      </x:c>
      <x:c r="H387" s="49" t="str">
        <x:v>ARCH-V3.2-M14-01</x:v>
      </x:c>
      <x:c r="I387" s="49" t="str">
        <x:v>—</x:v>
      </x:c>
    </x:row>
    <x:row r="388" ht="36" customHeight="1">
      <x:c r="A388" s="49" t="str">
        <x:v>M14-F009</x:v>
      </x:c>
      <x:c r="B388" s="49" t="str">
        <x:v>M14</x:v>
      </x:c>
      <x:c r="C388" s="49" t="str">
        <x:v>I-WP16</x:v>
      </x:c>
      <x:c r="D388" s="49" t="str">
        <x:v>Kiên</x:v>
      </x:c>
      <x:c r="E388" s="49" t="str">
        <x:v>P1</x:v>
      </x:c>
      <x:c r="F388" s="49" t="str">
        <x:v>ADD</x:v>
      </x:c>
      <x:c r="G388" s="49" t="str">
        <x:v>Ghi operational metadata cho scan/worker/AI failure, retry, DLQ và late AI result; không tạo business effect lần hai khi event bị duplicate.</x:v>
      </x:c>
      <x:c r="H388" s="49" t="str">
        <x:v>ARCH-V3.2-M14-02</x:v>
      </x:c>
      <x:c r="I388" s="49" t="str">
        <x:v>—</x:v>
      </x:c>
    </x:row>
    <x:row r="389" ht="36" customHeight="1">
      <x:c r="A389" s="49" t="str">
        <x:v>M14-F010</x:v>
      </x:c>
      <x:c r="B389" s="49" t="str">
        <x:v>M14</x:v>
      </x:c>
      <x:c r="C389" s="49" t="str">
        <x:v>I-WP17</x:v>
      </x:c>
      <x:c r="D389" s="49" t="str">
        <x:v>Kiên</x:v>
      </x:c>
      <x:c r="E389" s="49" t="str">
        <x:v>P1</x:v>
      </x:c>
      <x:c r="F389" s="49" t="str">
        <x:v>ADD</x:v>
      </x:c>
      <x:c r="G389" s="49" t="str">
        <x:v>Admin/Operations có thể lọc audit theo actor/action/resource/time và các correlation IDs; sensitive fields phải mask/redact.</x:v>
      </x:c>
      <x:c r="H389" s="49" t="str">
        <x:v>ARCH-V3.2-M14-03</x:v>
      </x:c>
      <x:c r="I389" s="49" t="str">
        <x:v>—</x:v>
      </x:c>
    </x:row>
    <x:row r="390" ht="36" customHeight="1">
      <x:c r="A390" s="49" t="str">
        <x:v>M14-F011</x:v>
      </x:c>
      <x:c r="B390" s="49" t="str">
        <x:v>M14</x:v>
      </x:c>
      <x:c r="C390" s="49" t="str">
        <x:v>I-WP15</x:v>
      </x:c>
      <x:c r="D390" s="49" t="str">
        <x:v>Kiên</x:v>
      </x:c>
      <x:c r="E390" s="49" t="str">
        <x:v>P0</x:v>
      </x:c>
      <x:c r="F390" s="49" t="str">
        <x:v>ADD</x:v>
      </x:c>
      <x:c r="G390" s="49" t="str">
        <x:v>Security audit cho auth-session lifecycle/reuse detection phải trace được theo user/session/correlation nhưng tuyệt đối không ghi raw access token, refresh token, OTP hoặc provider assertion.</x:v>
      </x:c>
      <x:c r="H390" s="49" t="str">
        <x:v>ARCH-V3.3-AUDIT</x:v>
      </x:c>
      <x:c r="I390" s="49" t="str">
        <x:v>—</x:v>
      </x:c>
    </x:row>
    <x:row r="391" ht="36" customHeight="1">
      <x:c r="A391" s="49" t="str">
        <x:v>FUTURE-F001</x:v>
      </x:c>
      <x:c r="B391" s="49" t="str">
        <x:v>FUTURE</x:v>
      </x:c>
      <x:c r="C391" s="49" t="str">
        <x:v>K-FWP01</x:v>
      </x:c>
      <x:c r="D391" s="49" t="str">
        <x:v>Khải</x:v>
      </x:c>
      <x:c r="E391" s="49" t="str">
        <x:v>P2</x:v>
      </x:c>
      <x:c r="F391" s="49" t="str">
        <x:v>FUTURE_SCOPE</x:v>
      </x:c>
      <x:c r="G391" s="49" t="str">
        <x:v>Extension Chrome/Edge cảnh báo khi truy cập tên miền trong danh sách đen</x:v>
      </x:c>
      <x:c r="H391" s="49" t="str">
        <x:v>K10-01</x:v>
      </x:c>
      <x:c r="I391" s="49" t="str">
        <x:v>Khải</x:v>
      </x:c>
    </x:row>
    <x:row r="392" ht="36" customHeight="1">
      <x:c r="A392" s="49" t="str">
        <x:v>FUTURE-F002</x:v>
      </x:c>
      <x:c r="B392" s="49" t="str">
        <x:v>FUTURE</x:v>
      </x:c>
      <x:c r="C392" s="49" t="str">
        <x:v>K-FWP01</x:v>
      </x:c>
      <x:c r="D392" s="49" t="str">
        <x:v>Khải</x:v>
      </x:c>
      <x:c r="E392" s="49" t="str">
        <x:v>P2</x:v>
      </x:c>
      <x:c r="F392" s="49" t="str">
        <x:v>FUTURE_SCOPE</x:v>
      </x:c>
      <x:c r="G392" s="49" t="str">
        <x:v>Chèn nhãn an toàn cạnh link trong kết quả tìm kiếm và mạng xã hội</x:v>
      </x:c>
      <x:c r="H392" s="49" t="str">
        <x:v>K10-02</x:v>
      </x:c>
      <x:c r="I392" s="49" t="str">
        <x:v>Khải</x:v>
      </x:c>
    </x:row>
    <x:row r="393" ht="36" customHeight="1">
      <x:c r="A393" s="49" t="str">
        <x:v>FUTURE-F003</x:v>
      </x:c>
      <x:c r="B393" s="49" t="str">
        <x:v>FUTURE</x:v>
      </x:c>
      <x:c r="C393" s="49" t="str">
        <x:v>K-FWP01</x:v>
      </x:c>
      <x:c r="D393" s="49" t="str">
        <x:v>Khải</x:v>
      </x:c>
      <x:c r="E393" s="49" t="str">
        <x:v>P2</x:v>
      </x:c>
      <x:c r="F393" s="49" t="str">
        <x:v>FUTURE_SCOPE</x:v>
      </x:c>
      <x:c r="G393" s="49" t="str">
        <x:v>Chuột phải vào link để quét ngay</x:v>
      </x:c>
      <x:c r="H393" s="49" t="str">
        <x:v>K10-03</x:v>
      </x:c>
      <x:c r="I393" s="49" t="str">
        <x:v>Khải</x:v>
      </x:c>
    </x:row>
    <x:row r="394" ht="36" customHeight="1">
      <x:c r="A394" s="49" t="str">
        <x:v>FUTURE-F004</x:v>
      </x:c>
      <x:c r="B394" s="49" t="str">
        <x:v>FUTURE</x:v>
      </x:c>
      <x:c r="C394" s="49" t="str">
        <x:v>K-FWP01</x:v>
      </x:c>
      <x:c r="D394" s="49" t="str">
        <x:v>Khải</x:v>
      </x:c>
      <x:c r="E394" s="49" t="str">
        <x:v>P2</x:v>
      </x:c>
      <x:c r="F394" s="49" t="str">
        <x:v>FUTURE_SCOPE</x:v>
      </x:c>
      <x:c r="G394" s="49" t="str">
        <x:v>Chặn trang nguy hiểm bằng màn hình cảnh báo có nút bỏ qua</x:v>
      </x:c>
      <x:c r="H394" s="49" t="str">
        <x:v>K10-04</x:v>
      </x:c>
      <x:c r="I394" s="49" t="str">
        <x:v>Khải</x:v>
      </x:c>
    </x:row>
    <x:row r="395" ht="36" customHeight="1">
      <x:c r="A395" s="49" t="str">
        <x:v>FUTURE-F005</x:v>
      </x:c>
      <x:c r="B395" s="49" t="str">
        <x:v>FUTURE</x:v>
      </x:c>
      <x:c r="C395" s="49" t="str">
        <x:v>K-FWP01</x:v>
      </x:c>
      <x:c r="D395" s="49" t="str">
        <x:v>Khải</x:v>
      </x:c>
      <x:c r="E395" s="49" t="str">
        <x:v>P2</x:v>
      </x:c>
      <x:c r="F395" s="49" t="str">
        <x:v>FUTURE_SCOPE</x:v>
      </x:c>
      <x:c r="G395" s="49" t="str">
        <x:v>Đồng bộ lịch sử quét với tài khoản</x:v>
      </x:c>
      <x:c r="H395" s="49" t="str">
        <x:v>K10-05</x:v>
      </x:c>
      <x:c r="I395" s="49" t="str">
        <x:v>Khải</x:v>
      </x:c>
    </x:row>
    <x:row r="396" ht="36" customHeight="1">
      <x:c r="A396" s="49" t="str">
        <x:v>FUTURE-F006</x:v>
      </x:c>
      <x:c r="B396" s="49" t="str">
        <x:v>FUTURE</x:v>
      </x:c>
      <x:c r="C396" s="49" t="str">
        <x:v>K-FWP01</x:v>
      </x:c>
      <x:c r="D396" s="49" t="str">
        <x:v>Khải</x:v>
      </x:c>
      <x:c r="E396" s="49" t="str">
        <x:v>P2</x:v>
      </x:c>
      <x:c r="F396" s="49" t="str">
        <x:v>FUTURE_SCOPE</x:v>
      </x:c>
      <x:c r="G396" s="49" t="str">
        <x:v>Chế độ ngoại tuyến dùng danh sách đen tải sẵn</x:v>
      </x:c>
      <x:c r="H396" s="49" t="str">
        <x:v>K10-06</x:v>
      </x:c>
      <x:c r="I396" s="49" t="str">
        <x:v>Khải</x:v>
      </x:c>
    </x:row>
    <x:row r="397" ht="36" customHeight="1">
      <x:c r="A397" s="49" t="str">
        <x:v>FUTURE-F007</x:v>
      </x:c>
      <x:c r="B397" s="49" t="str">
        <x:v>FUTURE</x:v>
      </x:c>
      <x:c r="C397" s="49" t="str">
        <x:v>I-FWP01</x:v>
      </x:c>
      <x:c r="D397" s="49" t="str">
        <x:v>Kiên</x:v>
      </x:c>
      <x:c r="E397" s="49" t="str">
        <x:v>P2</x:v>
      </x:c>
      <x:c r="F397" s="49" t="str">
        <x:v>FUTURE_SCOPE</x:v>
      </x:c>
      <x:c r="G397" s="49" t="str">
        <x:v>Bài viết hướng dẫn nhận biết từng loại lừa đảo</x:v>
      </x:c>
      <x:c r="H397" s="49" t="str">
        <x:v>R09-01</x:v>
      </x:c>
      <x:c r="I397" s="49" t="str">
        <x:v>Kiên</x:v>
      </x:c>
    </x:row>
    <x:row r="398" ht="36" customHeight="1">
      <x:c r="A398" s="49" t="str">
        <x:v>FUTURE-F008</x:v>
      </x:c>
      <x:c r="B398" s="49" t="str">
        <x:v>FUTURE</x:v>
      </x:c>
      <x:c r="C398" s="49" t="str">
        <x:v>I-FWP01</x:v>
      </x:c>
      <x:c r="D398" s="49" t="str">
        <x:v>Kiên</x:v>
      </x:c>
      <x:c r="E398" s="49" t="str">
        <x:v>P2</x:v>
      </x:c>
      <x:c r="F398" s="49" t="str">
        <x:v>FUTURE_SCOPE</x:v>
      </x:c>
      <x:c r="G398" s="49" t="str">
        <x:v>Danh mục theo chủ đề, có tìm kiếm</x:v>
      </x:c>
      <x:c r="H398" s="49" t="str">
        <x:v>R09-02</x:v>
      </x:c>
      <x:c r="I398" s="49" t="str">
        <x:v>Kiên</x:v>
      </x:c>
    </x:row>
    <x:row r="399" ht="36" customHeight="1">
      <x:c r="A399" s="49" t="str">
        <x:v>FUTURE-F009</x:v>
      </x:c>
      <x:c r="B399" s="49" t="str">
        <x:v>FUTURE</x:v>
      </x:c>
      <x:c r="C399" s="49" t="str">
        <x:v>I-FWP01</x:v>
      </x:c>
      <x:c r="D399" s="49" t="str">
        <x:v>Kiên</x:v>
      </x:c>
      <x:c r="E399" s="49" t="str">
        <x:v>P2</x:v>
      </x:c>
      <x:c r="F399" s="49" t="str">
        <x:v>FUTURE_SCOPE</x:v>
      </x:c>
      <x:c r="G399" s="49" t="str">
        <x:v>Gợi ý bài viết liên quan ngay trong trang kết quả quét</x:v>
      </x:c>
      <x:c r="H399" s="49" t="str">
        <x:v>R09-03</x:v>
      </x:c>
      <x:c r="I399" s="49" t="str">
        <x:v>Kiên</x:v>
      </x:c>
    </x:row>
    <x:row r="400" ht="36" customHeight="1">
      <x:c r="A400" s="49" t="str">
        <x:v>FUTURE-F010</x:v>
      </x:c>
      <x:c r="B400" s="49" t="str">
        <x:v>FUTURE</x:v>
      </x:c>
      <x:c r="C400" s="49" t="str">
        <x:v>I-FWP01</x:v>
      </x:c>
      <x:c r="D400" s="49" t="str">
        <x:v>Kiên</x:v>
      </x:c>
      <x:c r="E400" s="49" t="str">
        <x:v>P2</x:v>
      </x:c>
      <x:c r="F400" s="49" t="str">
        <x:v>FUTURE_SCOPE</x:v>
      </x:c>
      <x:c r="G400" s="49" t="str">
        <x:v>Trang admin soạn và xuất bản bài viết</x:v>
      </x:c>
      <x:c r="H400" s="49" t="str">
        <x:v>R09-04</x:v>
      </x:c>
      <x:c r="I400" s="49" t="str">
        <x:v>Kiên</x:v>
      </x:c>
    </x:row>
    <x:row r="401" ht="36" customHeight="1">
      <x:c r="A401" s="49" t="str">
        <x:v>FUTURE-F011</x:v>
      </x:c>
      <x:c r="B401" s="49" t="str">
        <x:v>FUTURE</x:v>
      </x:c>
      <x:c r="C401" s="49" t="str">
        <x:v>I-FWP01</x:v>
      </x:c>
      <x:c r="D401" s="49" t="str">
        <x:v>Kiên</x:v>
      </x:c>
      <x:c r="E401" s="49" t="str">
        <x:v>P2</x:v>
      </x:c>
      <x:c r="F401" s="49" t="str">
        <x:v>FUTURE_SCOPE</x:v>
      </x:c>
      <x:c r="G401" s="49" t="str">
        <x:v>Cảnh báo xu hướng lừa đảo mới theo tuần</x:v>
      </x:c>
      <x:c r="H401" s="49" t="str">
        <x:v>R09-05</x:v>
      </x:c>
      <x:c r="I401" s="49" t="str">
        <x:v>Kiên</x:v>
      </x:c>
    </x:row>
    <x:row r="402" ht="36" customHeight="1">
      <x:c r="A402" s="49" t="str">
        <x:v>FUTURE-F012</x:v>
      </x:c>
      <x:c r="B402" s="49" t="str">
        <x:v>FUTURE</x:v>
      </x:c>
      <x:c r="C402" s="49" t="str">
        <x:v>I-FWP01</x:v>
      </x:c>
      <x:c r="D402" s="49" t="str">
        <x:v>Kiên</x:v>
      </x:c>
      <x:c r="E402" s="49" t="str">
        <x:v>P2</x:v>
      </x:c>
      <x:c r="F402" s="49" t="str">
        <x:v>FUTURE_SCOPE</x:v>
      </x:c>
      <x:c r="G402" s="49" t="str">
        <x:v>Nội dung dạng thẻ ngắn cho người lớn tuổi, chữ to, ít thuật ngữ</x:v>
      </x:c>
      <x:c r="H402" s="49" t="str">
        <x:v>R09-06</x:v>
      </x:c>
      <x:c r="I402" s="49" t="str">
        <x:v>Kiên</x:v>
      </x:c>
    </x:row>
    <x:row r="403" ht="36" customHeight="1">
      <x:c r="A403" s="49" t="str">
        <x:v>FUTURE-F013</x:v>
      </x:c>
      <x:c r="B403" s="49" t="str">
        <x:v>FUTURE</x:v>
      </x:c>
      <x:c r="C403" s="49" t="str">
        <x:v>T-FWP01</x:v>
      </x:c>
      <x:c r="D403" s="49" t="str">
        <x:v>Thắng</x:v>
      </x:c>
      <x:c r="E403" s="49" t="str">
        <x:v>P2</x:v>
      </x:c>
      <x:c r="F403" s="49" t="str">
        <x:v>FUTURE_SCOPE</x:v>
      </x:c>
      <x:c r="G403" s="49" t="str">
        <x:v>Giao diện hỏi đáp: "Tin nhắn này có phải lừa đảo không?"</x:v>
      </x:c>
      <x:c r="H403" s="49" t="str">
        <x:v>R10-01</x:v>
      </x:c>
      <x:c r="I403" s="49" t="str">
        <x:v>Kiên</x:v>
      </x:c>
    </x:row>
    <x:row r="404" ht="36" customHeight="1">
      <x:c r="A404" s="49" t="str">
        <x:v>FUTURE-F014</x:v>
      </x:c>
      <x:c r="B404" s="49" t="str">
        <x:v>FUTURE</x:v>
      </x:c>
      <x:c r="C404" s="49" t="str">
        <x:v>T-FWP01</x:v>
      </x:c>
      <x:c r="D404" s="49" t="str">
        <x:v>Thắng</x:v>
      </x:c>
      <x:c r="E404" s="49" t="str">
        <x:v>P2</x:v>
      </x:c>
      <x:c r="F404" s="49" t="str">
        <x:v>FUTURE_SCOPE</x:v>
      </x:c>
      <x:c r="G404" s="49" t="str">
        <x:v>Trả lời dựa trên thư viện kiến thức, có trích dẫn nguồn</x:v>
      </x:c>
      <x:c r="H404" s="49" t="str">
        <x:v>R10-02</x:v>
      </x:c>
      <x:c r="I404" s="49" t="str">
        <x:v>Kiên</x:v>
      </x:c>
    </x:row>
    <x:row r="405" ht="36" customHeight="1">
      <x:c r="A405" s="49" t="str">
        <x:v>FUTURE-F015</x:v>
      </x:c>
      <x:c r="B405" s="49" t="str">
        <x:v>FUTURE</x:v>
      </x:c>
      <x:c r="C405" s="49" t="str">
        <x:v>T-FWP01</x:v>
      </x:c>
      <x:c r="D405" s="49" t="str">
        <x:v>Thắng</x:v>
      </x:c>
      <x:c r="E405" s="49" t="str">
        <x:v>P2</x:v>
      </x:c>
      <x:c r="F405" s="49" t="str">
        <x:v>FUTURE_SCOPE</x:v>
      </x:c>
      <x:c r="G405" s="49" t="str">
        <x:v>Gợi ý hành động tiếp theo tuỳ tình huống người dùng mô tả</x:v>
      </x:c>
      <x:c r="H405" s="49" t="str">
        <x:v>R10-03</x:v>
      </x:c>
      <x:c r="I405" s="49" t="str">
        <x:v>Kiên</x:v>
      </x:c>
    </x:row>
    <x:row r="406" ht="36" customHeight="1">
      <x:c r="A406" s="49" t="str">
        <x:v>FUTURE-F016</x:v>
      </x:c>
      <x:c r="B406" s="49" t="str">
        <x:v>FUTURE</x:v>
      </x:c>
      <x:c r="C406" s="49" t="str">
        <x:v>T-FWP01</x:v>
      </x:c>
      <x:c r="D406" s="49" t="str">
        <x:v>Thắng</x:v>
      </x:c>
      <x:c r="E406" s="49" t="str">
        <x:v>P2</x:v>
      </x:c>
      <x:c r="F406" s="49" t="str">
        <x:v>FUTURE_SCOPE</x:v>
      </x:c>
      <x:c r="G406" s="49" t="str">
        <x:v>Bàn giao sang biểu mẫu báo cáo khi xác định là lừa đảo</x:v>
      </x:c>
      <x:c r="H406" s="49" t="str">
        <x:v>R10-04</x:v>
      </x:c>
      <x:c r="I406" s="49" t="str">
        <x:v>Kiên</x:v>
      </x:c>
    </x:row>
    <x:row r="407" ht="36" customHeight="1">
      <x:c r="A407" s="49" t="str">
        <x:v>FUTURE-F017</x:v>
      </x:c>
      <x:c r="B407" s="49" t="str">
        <x:v>FUTURE</x:v>
      </x:c>
      <x:c r="C407" s="49" t="str">
        <x:v>T-FWP01</x:v>
      </x:c>
      <x:c r="D407" s="49" t="str">
        <x:v>Thắng</x:v>
      </x:c>
      <x:c r="E407" s="49" t="str">
        <x:v>P2</x:v>
      </x:c>
      <x:c r="F407" s="49" t="str">
        <x:v>FUTURE_SCOPE</x:v>
      </x:c>
      <x:c r="G407" s="49" t="str">
        <x:v>Giới hạn phạm vi trả lời, từ chối câu hỏi ngoài lĩnh vực</x:v>
      </x:c>
      <x:c r="H407" s="49" t="str">
        <x:v>R10-05</x:v>
      </x:c>
      <x:c r="I407" s="49" t="str">
        <x:v>Kiên</x:v>
      </x:c>
    </x:row>
    <x:row r="408" ht="36" customHeight="1">
      <x:c r="A408" s="49" t="str">
        <x:v>FUTURE-F018</x:v>
      </x:c>
      <x:c r="B408" s="49" t="str">
        <x:v>FUTURE</x:v>
      </x:c>
      <x:c r="C408" s="49" t="str">
        <x:v>T-FWP01</x:v>
      </x:c>
      <x:c r="D408" s="49" t="str">
        <x:v>Thắng</x:v>
      </x:c>
      <x:c r="E408" s="49" t="str">
        <x:v>P2</x:v>
      </x:c>
      <x:c r="F408" s="49" t="str">
        <x:v>FUTURE_SCOPE</x:v>
      </x:c>
      <x:c r="G408" s="49" t="str">
        <x:v>Ghi nhận câu hỏi thường gặp để bổ sung vào thư viện</x:v>
      </x:c>
      <x:c r="H408" s="49" t="str">
        <x:v>R10-06</x:v>
      </x:c>
      <x:c r="I408" s="49" t="str">
        <x:v>Kiên</x:v>
      </x:c>
    </x:row>
    <x:row r="409" ht="36" customHeight="1">
      <x:c r="A409" s="49" t="str">
        <x:v>FUTURE-F019</x:v>
      </x:c>
      <x:c r="B409" s="49" t="str">
        <x:v>FUTURE</x:v>
      </x:c>
      <x:c r="C409" s="49" t="str">
        <x:v>I-FWP02</x:v>
      </x:c>
      <x:c r="D409" s="49" t="str">
        <x:v>Kiên</x:v>
      </x:c>
      <x:c r="E409" s="49" t="str">
        <x:v>P2</x:v>
      </x:c>
      <x:c r="F409" s="49" t="str">
        <x:v>FUTURE_SCOPE</x:v>
      </x:c>
      <x:c r="G409" s="49" t="str">
        <x:v>Bài trắc nghiệm "Bạn có nhận ra tin nhắn lừa đảo không?"</x:v>
      </x:c>
      <x:c r="H409" s="49" t="str">
        <x:v>R11-01</x:v>
      </x:c>
      <x:c r="I409" s="49" t="str">
        <x:v>Kiên</x:v>
      </x:c>
    </x:row>
    <x:row r="410" ht="36" customHeight="1">
      <x:c r="A410" s="49" t="str">
        <x:v>FUTURE-F020</x:v>
      </x:c>
      <x:c r="B410" s="49" t="str">
        <x:v>FUTURE</x:v>
      </x:c>
      <x:c r="C410" s="49" t="str">
        <x:v>I-FWP02</x:v>
      </x:c>
      <x:c r="D410" s="49" t="str">
        <x:v>Kiên</x:v>
      </x:c>
      <x:c r="E410" s="49" t="str">
        <x:v>P2</x:v>
      </x:c>
      <x:c r="F410" s="49" t="str">
        <x:v>FUTURE_SCOPE</x:v>
      </x:c>
      <x:c r="G410" s="49" t="str">
        <x:v>Chấm điểm và giải thích từng câu sai</x:v>
      </x:c>
      <x:c r="H410" s="49" t="str">
        <x:v>R11-02</x:v>
      </x:c>
      <x:c r="I410" s="49" t="str">
        <x:v>Kiên</x:v>
      </x:c>
    </x:row>
    <x:row r="411" ht="36" customHeight="1">
      <x:c r="A411" s="49" t="str">
        <x:v>FUTURE-F021</x:v>
      </x:c>
      <x:c r="B411" s="49" t="str">
        <x:v>FUTURE</x:v>
      </x:c>
      <x:c r="C411" s="49" t="str">
        <x:v>K-FWP02</x:v>
      </x:c>
      <x:c r="D411" s="49" t="str">
        <x:v>Khải</x:v>
      </x:c>
      <x:c r="E411" s="49" t="str">
        <x:v>P2</x:v>
      </x:c>
      <x:c r="F411" s="49" t="str">
        <x:v>FUTURE_SCOPE</x:v>
      </x:c>
      <x:c r="G411" s="49" t="str">
        <x:v>Huy hiệu theo mốc: số lần quét, số báo cáo được duyệt</x:v>
      </x:c>
      <x:c r="H411" s="49" t="str">
        <x:v>R11-03</x:v>
      </x:c>
      <x:c r="I411" s="49" t="str">
        <x:v>Kiên</x:v>
      </x:c>
    </x:row>
    <x:row r="412" ht="36" customHeight="1">
      <x:c r="A412" s="49" t="str">
        <x:v>FUTURE-F022</x:v>
      </x:c>
      <x:c r="B412" s="49" t="str">
        <x:v>FUTURE</x:v>
      </x:c>
      <x:c r="C412" s="49" t="str">
        <x:v>K-FWP02</x:v>
      </x:c>
      <x:c r="D412" s="49" t="str">
        <x:v>Khải</x:v>
      </x:c>
      <x:c r="E412" s="49" t="str">
        <x:v>P2</x:v>
      </x:c>
      <x:c r="F412" s="49" t="str">
        <x:v>FUTURE_SCOPE</x:v>
      </x:c>
      <x:c r="G412" s="49" t="str">
        <x:v>Bảng xếp hạng đóng góp cộng đồng</x:v>
      </x:c>
      <x:c r="H412" s="49" t="str">
        <x:v>R11-04</x:v>
      </x:c>
      <x:c r="I412" s="49" t="str">
        <x:v>Kiên</x:v>
      </x:c>
    </x:row>
    <x:row r="413" ht="36" customHeight="1">
      <x:c r="A413" s="49" t="str">
        <x:v>FUTURE-F023</x:v>
      </x:c>
      <x:c r="B413" s="49" t="str">
        <x:v>FUTURE</x:v>
      </x:c>
      <x:c r="C413" s="49" t="str">
        <x:v>K-FWP02</x:v>
      </x:c>
      <x:c r="D413" s="49" t="str">
        <x:v>Khải</x:v>
      </x:c>
      <x:c r="E413" s="49" t="str">
        <x:v>P2</x:v>
      </x:c>
      <x:c r="F413" s="49" t="str">
        <x:v>FUTURE_SCOPE</x:v>
      </x:c>
      <x:c r="G413" s="49" t="str">
        <x:v>Chuỗi ngày sử dụng liên tục</x:v>
      </x:c>
      <x:c r="H413" s="49" t="str">
        <x:v>R11-05</x:v>
      </x:c>
      <x:c r="I413" s="49" t="str">
        <x:v>Kiên</x:v>
      </x:c>
    </x:row>
    <x:row r="414" ht="36" customHeight="1">
      <x:c r="A414" s="49" t="str">
        <x:v>FUTURE-F024</x:v>
      </x:c>
      <x:c r="B414" s="49" t="str">
        <x:v>FUTURE</x:v>
      </x:c>
      <x:c r="C414" s="49" t="str">
        <x:v>T-FWP02</x:v>
      </x:c>
      <x:c r="D414" s="49" t="str">
        <x:v>Thắng</x:v>
      </x:c>
      <x:c r="E414" s="49" t="str">
        <x:v>P2</x:v>
      </x:c>
      <x:c r="F414" s="49" t="str">
        <x:v>FUTURE_SCOPE</x:v>
      </x:c>
      <x:c r="G414" s="49" t="str">
        <x:v>Chia sẻ kết quả bài kiểm tra lên mạng xã hội</x:v>
      </x:c>
      <x:c r="H414" s="49" t="str">
        <x:v>R11-06</x:v>
      </x:c>
      <x:c r="I414" s="49" t="str">
        <x:v>Kiên</x:v>
      </x:c>
    </x:row>
    <x:row r="415" ht="36" customHeight="1">
      <x:c r="A415" s="49" t="str">
        <x:v>FUTURE-F025</x:v>
      </x:c>
      <x:c r="B415" s="49" t="str">
        <x:v>FUTURE</x:v>
      </x:c>
      <x:c r="C415" s="49" t="str">
        <x:v>H-FWP01</x:v>
      </x:c>
      <x:c r="D415" s="49" t="str">
        <x:v>Hùng</x:v>
      </x:c>
      <x:c r="E415" s="49" t="str">
        <x:v>P2</x:v>
      </x:c>
      <x:c r="F415" s="49" t="str">
        <x:v>FUTURE_SCOPE</x:v>
      </x:c>
      <x:c r="G415" s="49" t="str">
        <x:v>Entitlement profiles định nghĩa quota/featureFlags/historyPolicy/inferenceProfile cho các plan tương lai; M12 chỉ nhận resolved `EntitlementContext`.</x:v>
      </x:c>
      <x:c r="H415" s="49" t="str">
        <x:v>MODSPEC-V1.3-FUTURE</x:v>
      </x:c>
      <x:c r="I415" s="49" t="str">
        <x:v>—</x:v>
      </x:c>
    </x:row>
    <x:row r="416" ht="36" customHeight="1">
      <x:c r="A416" s="49" t="str">
        <x:v>FUTURE-F026</x:v>
      </x:c>
      <x:c r="B416" s="49" t="str">
        <x:v>FUTURE</x:v>
      </x:c>
      <x:c r="C416" s="49" t="str">
        <x:v>H-FWP01</x:v>
      </x:c>
      <x:c r="D416" s="49" t="str">
        <x:v>Hùng</x:v>
      </x:c>
      <x:c r="E416" s="49" t="str">
        <x:v>P2</x:v>
      </x:c>
      <x:c r="F416" s="49" t="str">
        <x:v>FUTURE_SCOPE</x:v>
      </x:c>
      <x:c r="G416" s="49" t="str">
        <x:v>Plans catalog cho Free/Premium/API tiers hoặc gói tương lai; không hard-code plan trong scan/worker contract.</x:v>
      </x:c>
      <x:c r="H416" s="49" t="str">
        <x:v>SCHEMA-V1.0-FUTURE</x:v>
      </x:c>
      <x:c r="I416" s="49" t="str">
        <x:v>—</x:v>
      </x:c>
    </x:row>
    <x:row r="417" ht="36" customHeight="1">
      <x:c r="A417" s="49" t="str">
        <x:v>FUTURE-F027</x:v>
      </x:c>
      <x:c r="B417" s="49" t="str">
        <x:v>FUTURE</x:v>
      </x:c>
      <x:c r="C417" s="49" t="str">
        <x:v>H-FWP01</x:v>
      </x:c>
      <x:c r="D417" s="49" t="str">
        <x:v>Hùng</x:v>
      </x:c>
      <x:c r="E417" s="49" t="str">
        <x:v>P2</x:v>
      </x:c>
      <x:c r="F417" s="49" t="str">
        <x:v>FUTURE_SCOPE</x:v>
      </x:c>
      <x:c r="G417" s="49" t="str">
        <x:v>Account-plan assignment có hiệu lực theo thời gian và audit thay đổi entitlement.</x:v>
      </x:c>
      <x:c r="H417" s="49" t="str">
        <x:v>SCHEMA-V1.0-FUTURE</x:v>
      </x:c>
      <x:c r="I417" s="49" t="str">
        <x:v>—</x:v>
      </x:c>
    </x:row>
    <x:row r="418" ht="36" customHeight="1">
      <x:c r="A418" s="49" t="str">
        <x:v>FUTURE-F028</x:v>
      </x:c>
      <x:c r="B418" s="49" t="str">
        <x:v>FUTURE</x:v>
      </x:c>
      <x:c r="C418" s="49" t="str">
        <x:v>H-FWP01</x:v>
      </x:c>
      <x:c r="D418" s="49" t="str">
        <x:v>Hùng</x:v>
      </x:c>
      <x:c r="E418" s="49" t="str">
        <x:v>P2</x:v>
      </x:c>
      <x:c r="F418" s="49" t="str">
        <x:v>FUTURE_SCOPE</x:v>
      </x:c>
      <x:c r="G418" s="49" t="str">
        <x:v>Subscription lifecycle độc lập với Identity/Scan; trạng thái subscription không đi trực tiếp vào worker message.</x:v>
      </x:c>
      <x:c r="H418" s="49" t="str">
        <x:v>SCHEMA-V1.0-FUTURE</x:v>
      </x:c>
      <x:c r="I418" s="49" t="str">
        <x:v>—</x:v>
      </x:c>
    </x:row>
    <x:row r="419" ht="36" customHeight="1">
      <x:c r="A419" s="49" t="str">
        <x:v>FUTURE-F029</x:v>
      </x:c>
      <x:c r="B419" s="49" t="str">
        <x:v>FUTURE</x:v>
      </x:c>
      <x:c r="C419" s="49" t="str">
        <x:v>H-FWP02</x:v>
      </x:c>
      <x:c r="D419" s="49" t="str">
        <x:v>Hùng</x:v>
      </x:c>
      <x:c r="E419" s="49" t="str">
        <x:v>P2</x:v>
      </x:c>
      <x:c r="F419" s="49" t="str">
        <x:v>FUTURE_SCOPE</x:v>
      </x:c>
      <x:c r="G419" s="49" t="str">
        <x:v>Usage metering theo account/API identity và loại execution; ghi `usage_records` để phục vụ quota/billing sau này.</x:v>
      </x:c>
      <x:c r="H419" s="49" t="str">
        <x:v>SCHEMA-V1.0-FUTURE</x:v>
      </x:c>
      <x:c r="I419" s="49" t="str">
        <x:v>—</x:v>
      </x:c>
    </x:row>
    <x:row r="420" ht="36" customHeight="1">
      <x:c r="A420" s="49" t="str">
        <x:v>FUTURE-F030</x:v>
      </x:c>
      <x:c r="B420" s="49" t="str">
        <x:v>FUTURE</x:v>
      </x:c>
      <x:c r="C420" s="49" t="str">
        <x:v>H-FWP02</x:v>
      </x:c>
      <x:c r="D420" s="49" t="str">
        <x:v>Hùng</x:v>
      </x:c>
      <x:c r="E420" s="49" t="str">
        <x:v>P2</x:v>
      </x:c>
      <x:c r="F420" s="49" t="str">
        <x:v>FUTURE_SCOPE</x:v>
      </x:c>
      <x:c r="G420" s="49" t="str">
        <x:v>Credit account cho user/API client; số dư được suy ra từ ledger, không lưu `credit_balance` trực tiếp trong `users`.</x:v>
      </x:c>
      <x:c r="H420" s="49" t="str">
        <x:v>SCHEMA-V1.0-FUTURE</x:v>
      </x:c>
      <x:c r="I420" s="49" t="str">
        <x:v>—</x:v>
      </x:c>
    </x:row>
    <x:row r="421" ht="36" customHeight="1">
      <x:c r="A421" s="49" t="str">
        <x:v>FUTURE-F031</x:v>
      </x:c>
      <x:c r="B421" s="49" t="str">
        <x:v>FUTURE</x:v>
      </x:c>
      <x:c r="C421" s="49" t="str">
        <x:v>H-FWP02</x:v>
      </x:c>
      <x:c r="D421" s="49" t="str">
        <x:v>Hùng</x:v>
      </x:c>
      <x:c r="E421" s="49" t="str">
        <x:v>P2</x:v>
      </x:c>
      <x:c r="F421" s="49" t="str">
        <x:v>FUTURE_SCOPE</x:v>
      </x:c>
      <x:c r="G421" s="49" t="str">
        <x:v>Credit ledger entries trace đầy đủ debit/credit/adjustment và correlation tới usage/billing event.</x:v>
      </x:c>
      <x:c r="H421" s="49" t="str">
        <x:v>SCHEMA-V1.0-FUTURE</x:v>
      </x:c>
      <x:c r="I421" s="49" t="str">
        <x:v>—</x:v>
      </x:c>
    </x:row>
    <x:row r="422" ht="36" customHeight="1">
      <x:c r="A422" s="49" t="str">
        <x:v>FUTURE-F032</x:v>
      </x:c>
      <x:c r="B422" s="49" t="str">
        <x:v>FUTURE</x:v>
      </x:c>
      <x:c r="C422" s="49" t="str">
        <x:v>H-FWP02</x:v>
      </x:c>
      <x:c r="D422" s="49" t="str">
        <x:v>Hùng</x:v>
      </x:c>
      <x:c r="E422" s="49" t="str">
        <x:v>P2</x:v>
      </x:c>
      <x:c r="F422" s="49" t="str">
        <x:v>FUTURE_SCOPE</x:v>
      </x:c>
      <x:c r="G422" s="49" t="str">
        <x:v>Credit reservation/settlement/release cho tác vụ tốn tài nguyên trước khi execution, không làm thay đổi `RiskResult` contract.</x:v>
      </x:c>
      <x:c r="H422" s="49" t="str">
        <x:v>SCHEMA-V1.0-FUTURE</x:v>
      </x:c>
      <x:c r="I422" s="49" t="str">
        <x:v>—</x:v>
      </x:c>
    </x:row>
    <x:row r="423" ht="36" customHeight="1">
      <x:c r="A423" s="49" t="str">
        <x:v>FUTURE-F033</x:v>
      </x:c>
      <x:c r="B423" s="49" t="str">
        <x:v>FUTURE</x:v>
      </x:c>
      <x:c r="C423" s="49" t="str">
        <x:v>H-FWP02</x:v>
      </x:c>
      <x:c r="D423" s="49" t="str">
        <x:v>Hùng</x:v>
      </x:c>
      <x:c r="E423" s="49" t="str">
        <x:v>P2</x:v>
      </x:c>
      <x:c r="F423" s="49" t="str">
        <x:v>FUTURE_SCOPE</x:v>
      </x:c>
      <x:c r="G423" s="49" t="str">
        <x:v>User-facing API credentials/API client identity với key hash/revoke/rotate; downstream vẫn nhận `AccessContext`, không truyền raw API key tới worker.</x:v>
      </x:c>
      <x:c r="H423" s="49" t="str">
        <x:v>SCHEMA-V1.0-FUTURE</x:v>
      </x:c>
      <x:c r="I423" s="49" t="str">
        <x:v>—</x:v>
      </x:c>
    </x:row>
  </x:sheetData>
  <x:conditionalFormatting sqref="E2:E423">
    <x:cfRule type="expression" dxfId="1" priority="1">
      <x:formula>E2="P0"</x:formula>
    </x:cfRule>
    <x:cfRule type="expression" dxfId="2" priority="2">
      <x:formula>E2="P1"</x:formula>
    </x:cfRule>
    <x:cfRule type="expression" dxfId="3" priority="3">
      <x:formula>E2="P2"</x:formula>
    </x:cfRule>
  </x:conditionalFormatting>
  <x:dataValidations count="3">
    <x:dataValidation type="list" sqref="D2:D423">
      <x:formula1>"Hùng,Khải,Kiên,Thắng"</x:formula1>
    </x:dataValidation>
    <x:dataValidation type="list" sqref="E2:E423">
      <x:formula1>"P0,P1,P2"</x:formula1>
    </x:dataValidation>
    <x:dataValidation type="list" sqref="F2:F423">
      <x:formula1>"KEEP,MODIFY,ADD,FUTURE_SCOPE"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bc03b8058547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3" hidden="0" customWidth="1"/>
    <x:col min="4" max="4" width="14" hidden="0" customWidth="1"/>
    <x:col min="5" max="5" width="72" hidden="0" customWidth="1"/>
    <x:col min="6" max="6" width="28" hidden="0" customWidth="1"/>
  </x:cols>
  <x:sheetData>
    <x:row r="1" ht="28" customHeight="1">
      <x:c r="A1" s="68" t="str">
        <x:v>ID</x:v>
      </x:c>
      <x:c r="B1" s="68" t="str">
        <x:v>Module</x:v>
      </x:c>
      <x:c r="C1" s="68" t="str">
        <x:v>Work Package</x:v>
      </x:c>
      <x:c r="D1" s="68" t="str">
        <x:v>Owner</x:v>
      </x:c>
      <x:c r="E1" s="68" t="str">
        <x:v>P0 feature</x:v>
      </x:c>
      <x:c r="F1" s="68" t="str">
        <x:v>Source</x:v>
      </x:c>
    </x:row>
    <x:row r="2" ht="34" customHeight="1">
      <x:c r="A2" s="59" t="str">
        <x:v>M01-F001</x:v>
      </x:c>
      <x:c r="B2" s="59" t="str">
        <x:v>M01</x:v>
      </x:c>
      <x:c r="C2" s="59" t="str">
        <x:v>H-WP01</x:v>
      </x:c>
      <x:c r="D2" s="59" t="str">
        <x:v>Hùng</x:v>
      </x:c>
      <x:c r="E2" s="59" t="str">
        <x:v>Đăng ký Local bằng email + mật khẩu; validate định dạng, độ mạnh mật khẩu và profile tối thiểu.</x:v>
      </x:c>
      <x:c r="F2" s="59" t="str">
        <x:v>H01-01 + V3.3</x:v>
      </x:c>
    </x:row>
    <x:row r="3" ht="34" customHeight="1">
      <x:c r="A3" s="59" t="str">
        <x:v>M01-F002</x:v>
      </x:c>
      <x:c r="B3" s="59" t="str">
        <x:v>M01</x:v>
      </x:c>
      <x:c r="C3" s="59" t="str">
        <x:v>H-WP01</x:v>
      </x:c>
      <x:c r="D3" s="59" t="str">
        <x:v>Hùng</x:v>
      </x:c>
      <x:c r="E3" s="59" t="str">
        <x:v>Hash mật khẩu Local bằng BCrypt cost phù hợp; password hash chỉ nằm trong `local_credentials`, không ghi log.</x:v>
      </x:c>
      <x:c r="F3" s="59" t="str">
        <x:v>H01-02 + V3.3</x:v>
      </x:c>
    </x:row>
    <x:row r="4" ht="34" customHeight="1">
      <x:c r="A4" s="59" t="str">
        <x:v>M01-F003</x:v>
      </x:c>
      <x:c r="B4" s="59" t="str">
        <x:v>M01</x:v>
      </x:c>
      <x:c r="C4" s="59" t="str">
        <x:v>H-WP01</x:v>
      </x:c>
      <x:c r="D4" s="59" t="str">
        <x:v>Hùng</x:v>
      </x:c>
      <x:c r="E4" s="59" t="str">
        <x:v>Chuẩn hoá email (trim/lowercase) trước khi lưu/so sánh và enforce UNIQUE trên `users.email`; MVP không có `username`/public handle unique.</x:v>
      </x:c>
      <x:c r="F4" s="59" t="str">
        <x:v>H01-03 + MODSPEC-V1.3</x:v>
      </x:c>
    </x:row>
    <x:row r="5" ht="34" customHeight="1">
      <x:c r="A5" s="59" t="str">
        <x:v>M01-F004</x:v>
      </x:c>
      <x:c r="B5" s="59" t="str">
        <x:v>M01</x:v>
      </x:c>
      <x:c r="C5" s="59" t="str">
        <x:v>H-WP01</x:v>
      </x:c>
      <x:c r="D5" s="59" t="str">
        <x:v>Hùng</x:v>
      </x:c>
      <x:c r="E5" s="59" t="str">
        <x:v>Xác thực email bằng OTP/challenge do M01 sở hữu: lưu hash, expiry, attempt count và single-use consume; M10 chỉ chịu trách nhiệm delivery.</x:v>
      </x:c>
      <x:c r="F5" s="59" t="str">
        <x:v>H01-04 + V3.3</x:v>
      </x:c>
    </x:row>
    <x:row r="6" ht="34" customHeight="1">
      <x:c r="A6" s="59" t="str">
        <x:v>M01-F006</x:v>
      </x:c>
      <x:c r="B6" s="59" t="str">
        <x:v>M01</x:v>
      </x:c>
      <x:c r="C6" s="59" t="str">
        <x:v>H-WP02</x:v>
      </x:c>
      <x:c r="D6" s="59" t="str">
        <x:v>Hùng</x:v>
      </x:c>
      <x:c r="E6" s="59" t="str">
        <x:v>Đăng nhập bằng Google OAuth 2.0 / OpenID Connect qua external identity adapter; định danh bằng `providerKey=google` + Google `sub`, không dùng email làm identity primary.</x:v>
      </x:c>
      <x:c r="F6" s="59" t="str">
        <x:v>H01-06 + V3.3</x:v>
      </x:c>
    </x:row>
    <x:row r="7" ht="34" customHeight="1">
      <x:c r="A7" s="59" t="str">
        <x:v>M01-F007</x:v>
      </x:c>
      <x:c r="B7" s="59" t="str">
        <x:v>M01</x:v>
      </x:c>
      <x:c r="C7" s="59" t="str">
        <x:v>H-WP02</x:v>
      </x:c>
      <x:c r="D7" s="59" t="str">
        <x:v>Hùng</x:v>
      </x:c>
      <x:c r="E7" s="59" t="str">
        <x:v>Guest được scan URL/Text/Entity/QR mà không cần tài khoản; dùng ephemeral `AccessContext`, quota thấp hơn và không có persistent account history.</x:v>
      </x:c>
      <x:c r="F7" s="59" t="str">
        <x:v>H01-07 + MODSPEC-V1.3</x:v>
      </x:c>
    </x:row>
    <x:row r="8" ht="34" customHeight="1">
      <x:c r="A8" s="59" t="str">
        <x:v>M01-F008</x:v>
      </x:c>
      <x:c r="B8" s="59" t="str">
        <x:v>M01</x:v>
      </x:c>
      <x:c r="C8" s="59" t="str">
        <x:v>H-WP03</x:v>
      </x:c>
      <x:c r="D8" s="59" t="str">
        <x:v>Hùng</x:v>
      </x:c>
      <x:c r="E8" s="59" t="str">
        <x:v>Sau Local/Google authentication thành công: tạo server-side `auth_session`, cấp JWT access token ngắn hạn (mặc định 15 phút) + opaque refresh token dài hạn (mặc định 30 ngày).</x:v>
      </x:c>
      <x:c r="F8" s="59" t="str">
        <x:v>H02-01 + V3.3</x:v>
      </x:c>
    </x:row>
    <x:row r="9" ht="34" customHeight="1">
      <x:c r="A9" s="59" t="str">
        <x:v>M01-F009</x:v>
      </x:c>
      <x:c r="B9" s="59" t="str">
        <x:v>M01</x:v>
      </x:c>
      <x:c r="C9" s="59" t="str">
        <x:v>H-WP03</x:v>
      </x:c>
      <x:c r="D9" s="59" t="str">
        <x:v>Hùng</x:v>
      </x:c>
      <x:c r="E9" s="59" t="str">
        <x:v>Refresh token là high-entropy opaque credential; DB chỉ lưu `token_hash`, `session_id`, `token_family_id` và metadata rotation; không persist/log raw refresh token.</x:v>
      </x:c>
      <x:c r="F9" s="59" t="str">
        <x:v>H02-02 + V3.3</x:v>
      </x:c>
    </x:row>
    <x:row r="10" ht="34" customHeight="1">
      <x:c r="A10" s="59" t="str">
        <x:v>M01-F010</x:v>
      </x:c>
      <x:c r="B10" s="59" t="str">
        <x:v>M01</x:v>
      </x:c>
      <x:c r="C10" s="59" t="str">
        <x:v>H-WP03</x:v>
      </x:c>
      <x:c r="D10" s="59" t="str">
        <x:v>Hùng</x:v>
      </x:c>
      <x:c r="E10" s="59" t="str">
        <x:v>Logout phiên hiện tại revoke `auth_session` và refresh-token family tương ứng; access JWT mang `sid` phải bị từ chối khi session đã revoked/expired.</x:v>
      </x:c>
      <x:c r="F10" s="59" t="str">
        <x:v>H02-03 + V3.3</x:v>
      </x:c>
    </x:row>
    <x:row r="11" ht="34" customHeight="1">
      <x:c r="A11" s="59" t="str">
        <x:v>M01-F011</x:v>
      </x:c>
      <x:c r="B11" s="59" t="str">
        <x:v>M01</x:v>
      </x:c>
      <x:c r="C11" s="59" t="str">
        <x:v>H-WP03</x:v>
      </x:c>
      <x:c r="D11" s="59" t="str">
        <x:v>Hùng</x:v>
      </x:c>
      <x:c r="E11" s="59" t="str">
        <x:v>Refresh token rotation ở mỗi lần refresh: token cũ được consume/replaced, token mới cùng family được cấp atomically.</x:v>
      </x:c>
      <x:c r="F11" s="59" t="str">
        <x:v>H02-04 + V3.3</x:v>
      </x:c>
    </x:row>
    <x:row r="12" ht="34" customHeight="1">
      <x:c r="A12" s="59" t="str">
        <x:v>M01-F012</x:v>
      </x:c>
      <x:c r="B12" s="59" t="str">
        <x:v>M01</x:v>
      </x:c>
      <x:c r="C12" s="59" t="str">
        <x:v>H-WP03</x:v>
      </x:c>
      <x:c r="D12" s="59" t="str">
        <x:v>Hùng</x:v>
      </x:c>
      <x:c r="E12" s="59" t="str">
        <x:v>Phát hiện refresh-token reuse: revoke toàn bộ token family + `auth_session`, trả 401 và phát security notification qua M10.</x:v>
      </x:c>
      <x:c r="F12" s="59" t="str">
        <x:v>H02-05 + V3.3</x:v>
      </x:c>
    </x:row>
    <x:row r="13" ht="34" customHeight="1">
      <x:c r="A13" s="59" t="str">
        <x:v>M01-F015</x:v>
      </x:c>
      <x:c r="B13" s="59" t="str">
        <x:v>M01</x:v>
      </x:c>
      <x:c r="C13" s="59" t="str">
        <x:v>H-WP04</x:v>
      </x:c>
      <x:c r="D13" s="59" t="str">
        <x:v>Hùng</x:v>
      </x:c>
      <x:c r="E13" s="59" t="str">
        <x:v>Xem hồ sơ gồm email, fullName, displayName, dateOfBirth, avatarUrl, emailVerified và roles; không hiển thị `username` vì MVP không có public handle unique.</x:v>
      </x:c>
      <x:c r="F13" s="59" t="str">
        <x:v>H03-01 + MODSPEC-V1.3</x:v>
      </x:c>
    </x:row>
    <x:row r="14" ht="34" customHeight="1">
      <x:c r="A14" s="59" t="str">
        <x:v>M01-F016</x:v>
      </x:c>
      <x:c r="B14" s="59" t="str">
        <x:v>M01</x:v>
      </x:c>
      <x:c r="C14" s="59" t="str">
        <x:v>H-WP04</x:v>
      </x:c>
      <x:c r="D14" s="59" t="str">
        <x:v>Hùng</x:v>
      </x:c>
      <x:c r="E14" s="59" t="str">
        <x:v>Đổi mật khẩu: xác minh current password + `PASSWORD_CHANGE` OTP challenge theo policy; sau đổi áp dụng revoke/rotate session và gửi security notification.</x:v>
      </x:c>
      <x:c r="F14" s="59" t="str">
        <x:v>H03-02 + V3.3</x:v>
      </x:c>
    </x:row>
    <x:row r="15" ht="34" customHeight="1">
      <x:c r="A15" s="59" t="str">
        <x:v>M01-F018</x:v>
      </x:c>
      <x:c r="B15" s="59" t="str">
        <x:v>M01</x:v>
      </x:c>
      <x:c r="C15" s="59" t="str">
        <x:v>H-WP04</x:v>
      </x:c>
      <x:c r="D15" s="59" t="str">
        <x:v>Hùng</x:v>
      </x:c>
      <x:c r="E15" s="59" t="str">
        <x:v>Forgot/Reset Password bằng OTP challenge: response trung tính chống account enumeration; reset thành công đổi credential và revoke toàn bộ session/token family theo policy.</x:v>
      </x:c>
      <x:c r="F15" s="59" t="str">
        <x:v>H03-04 + V3.3</x:v>
      </x:c>
    </x:row>
    <x:row r="16" ht="34" customHeight="1">
      <x:c r="A16" s="59" t="str">
        <x:v>M01-F019</x:v>
      </x:c>
      <x:c r="B16" s="59" t="str">
        <x:v>M01</x:v>
      </x:c>
      <x:c r="C16" s="59" t="str">
        <x:v>H-WP02</x:v>
      </x:c>
      <x:c r="D16" s="59" t="str">
        <x:v>Hùng</x:v>
      </x:c>
      <x:c r="E16" s="59" t="str">
        <x:v>Chuẩn hoá mọi auth method (Local/Google/future provider) thành cùng `AuthResult` + `AccessContext`/`AuthenticatedPrincipal`; downstream không branch theo auth method.</x:v>
      </x:c>
      <x:c r="F16" s="59" t="str">
        <x:v>H03-05 + V3.3</x:v>
      </x:c>
    </x:row>
    <x:row r="17" ht="34" customHeight="1">
      <x:c r="A17" s="59" t="str">
        <x:v>M01-F021</x:v>
      </x:c>
      <x:c r="B17" s="59" t="str">
        <x:v>M01</x:v>
      </x:c>
      <x:c r="C17" s="59" t="str">
        <x:v>H-WP05</x:v>
      </x:c>
      <x:c r="D17" s="59" t="str">
        <x:v>Hùng</x:v>
      </x:c>
      <x:c r="E17" s="59" t="str">
        <x:v>RBAC với các role `USER`, `MODERATOR`, `ADMIN`; roles được đưa vào `AccessContext` và có thể phản ánh trong JWT claims.</x:v>
      </x:c>
      <x:c r="F17" s="59" t="str">
        <x:v>H04-01 + MODSPEC-V1.3</x:v>
      </x:c>
    </x:row>
    <x:row r="18" ht="34" customHeight="1">
      <x:c r="A18" s="59" t="str">
        <x:v>M01-F022</x:v>
      </x:c>
      <x:c r="B18" s="59" t="str">
        <x:v>M01</x:v>
      </x:c>
      <x:c r="C18" s="59" t="str">
        <x:v>H-WP05</x:v>
      </x:c>
      <x:c r="D18" s="59" t="str">
        <x:v>Hùng</x:v>
      </x:c>
      <x:c r="E18" s="59" t="str">
        <x:v>Bảo vệ toàn bộ route/admin operation bằng backend authorization/RBAC; unauthorized trả 401/403 chuẩn hoá.</x:v>
      </x:c>
      <x:c r="F18" s="59" t="str">
        <x:v>H04-02 + MODSPEC-V1.3</x:v>
      </x:c>
    </x:row>
    <x:row r="19" ht="34" customHeight="1">
      <x:c r="A19" s="59" t="str">
        <x:v>M01-F023</x:v>
      </x:c>
      <x:c r="B19" s="59" t="str">
        <x:v>M01</x:v>
      </x:c>
      <x:c r="C19" s="59" t="str">
        <x:v>H-WP05</x:v>
      </x:c>
      <x:c r="D19" s="59" t="str">
        <x:v>Hùng</x:v>
      </x:c>
      <x:c r="E19" s="59" t="str">
        <x:v>Route guard phía Next.js/Admin Dashboard để ẩn/chặn UI trái quyền; backend vẫn là nguồn quyết định authorization cuối.</x:v>
      </x:c>
      <x:c r="F19" s="59" t="str">
        <x:v>H04-03 + MODSPEC-V1.3</x:v>
      </x:c>
    </x:row>
    <x:row r="20" ht="34" customHeight="1">
      <x:c r="A20" s="59" t="str">
        <x:v>M01-F034</x:v>
      </x:c>
      <x:c r="B20" s="59" t="str">
        <x:v>M01</x:v>
      </x:c>
      <x:c r="C20" s="59" t="str">
        <x:v>H-WP07</x:v>
      </x:c>
      <x:c r="D20" s="59" t="str">
        <x:v>Hùng</x:v>
      </x:c>
      <x:c r="E20" s="59" t="str">
        <x:v>Rate limit đăng nhập: 5 lần sai / IP / 15 phút, sau đó khoá 15 phút</x:v>
      </x:c>
      <x:c r="F20" s="59" t="str">
        <x:v>H07-01</x:v>
      </x:c>
    </x:row>
    <x:row r="21" ht="34" customHeight="1">
      <x:c r="A21" s="59" t="str">
        <x:v>M01-F035</x:v>
      </x:c>
      <x:c r="B21" s="59" t="str">
        <x:v>M01</x:v>
      </x:c>
      <x:c r="C21" s="59" t="str">
        <x:v>H-WP07</x:v>
      </x:c>
      <x:c r="D21" s="59" t="str">
        <x:v>Hùng</x:v>
      </x:c>
      <x:c r="E21" s="59" t="str">
        <x:v>Rate limit đăng ký: 5 request / phút / IP</x:v>
      </x:c>
      <x:c r="F21" s="59" t="str">
        <x:v>H07-02</x:v>
      </x:c>
    </x:row>
    <x:row r="22" ht="34" customHeight="1">
      <x:c r="A22" s="59" t="str">
        <x:v>M01-F036</x:v>
      </x:c>
      <x:c r="B22" s="59" t="str">
        <x:v>M01</x:v>
      </x:c>
      <x:c r="C22" s="59" t="str">
        <x:v>H-WP07</x:v>
      </x:c>
      <x:c r="D22" s="59" t="str">
        <x:v>Hùng</x:v>
      </x:c>
      <x:c r="E22" s="59" t="str">
        <x:v>Business quota theo `AccessContext`: guest quota thấp hơn authenticated user; Nginx chỉ làm coarse IP/flood limiting.</x:v>
      </x:c>
      <x:c r="F22" s="59" t="str">
        <x:v>H07-03 + V3.3</x:v>
      </x:c>
    </x:row>
    <x:row r="23" ht="34" customHeight="1">
      <x:c r="A23" s="59" t="str">
        <x:v>M01-F041</x:v>
      </x:c>
      <x:c r="B23" s="59" t="str">
        <x:v>M01</x:v>
      </x:c>
      <x:c r="C23" s="59" t="str">
        <x:v>H-WP03</x:v>
      </x:c>
      <x:c r="D23" s="59" t="str">
        <x:v>Hùng</x:v>
      </x:c>
      <x:c r="E23" s="59" t="str">
        <x:v>Token storage client: Web giữ access token ưu tiên trong memory và refresh credential qua `HttpOnly + Secure + SameSite` cookie; Mobile giữ refresh credential trong Keychain/Keystore/secure storage, không dùng localStorage/AsyncStorage thường.</x:v>
      </x:c>
      <x:c r="F23" s="59" t="str">
        <x:v>T11-01 + V3.3</x:v>
      </x:c>
    </x:row>
    <x:row r="24" ht="34" customHeight="1">
      <x:c r="A24" s="59" t="str">
        <x:v>M02-F001</x:v>
      </x:c>
      <x:c r="B24" s="59" t="str">
        <x:v>M02</x:v>
      </x:c>
      <x:c r="C24" s="59" t="str">
        <x:v>K-WP01</x:v>
      </x:c>
      <x:c r="D24" s="59" t="str">
        <x:v>Khải</x:v>
      </x:c>
      <x:c r="E24" s="59" t="str">
        <x:v>`POST /v1/scans/url`: cache hit có thể trả cached `RiskResult`; cache miss tạo `ScanRequest`, publish `scan.url.requested` và trả `202 + scanId`.</x:v>
      </x:c>
      <x:c r="F24" s="59" t="str">
        <x:v>K01-01</x:v>
      </x:c>
    </x:row>
    <x:row r="25" ht="34" customHeight="1">
      <x:c r="A25" s="59" t="str">
        <x:v>M02-F002</x:v>
      </x:c>
      <x:c r="B25" s="59" t="str">
        <x:v>M02</x:v>
      </x:c>
      <x:c r="C25" s="59" t="str">
        <x:v>K-WP01</x:v>
      </x:c>
      <x:c r="D25" s="59" t="str">
        <x:v>Khải</x:v>
      </x:c>
      <x:c r="E25" s="59" t="str">
        <x:v>Chuẩn hoá URL: thêm scheme, hạ chữ thường host, bỏ port mặc định, sắp xếp query</x:v>
      </x:c>
      <x:c r="F25" s="59" t="str">
        <x:v>K01-02</x:v>
      </x:c>
    </x:row>
    <x:row r="26" ht="34" customHeight="1">
      <x:c r="A26" s="59" t="str">
        <x:v>M02-F003</x:v>
      </x:c>
      <x:c r="B26" s="59" t="str">
        <x:v>M02</x:v>
      </x:c>
      <x:c r="C26" s="59" t="str">
        <x:v>K-WP01</x:v>
      </x:c>
      <x:c r="D26" s="59" t="str">
        <x:v>Khải</x:v>
      </x:c>
      <x:c r="E26" s="59" t="str">
        <x:v>Tách thành phần: scheme, subdomain, domain, TLD, path, query, fragment</x:v>
      </x:c>
      <x:c r="F26" s="59" t="str">
        <x:v>K01-03</x:v>
      </x:c>
    </x:row>
    <x:row r="27" ht="34" customHeight="1">
      <x:c r="A27" s="59" t="str">
        <x:v>M02-F004</x:v>
      </x:c>
      <x:c r="B27" s="59" t="str">
        <x:v>M02</x:v>
      </x:c>
      <x:c r="C27" s="59" t="str">
        <x:v>K-WP01</x:v>
      </x:c>
      <x:c r="D27" s="59" t="str">
        <x:v>Khải</x:v>
      </x:c>
      <x:c r="E27" s="59" t="str">
        <x:v>Cache kết quả URL theo normalized-input hash qua shared result cache; TTL mặc định 10 phút và cấu hình được, PostgreSQL vẫn là source of truth.</x:v>
      </x:c>
      <x:c r="F27" s="59" t="str">
        <x:v>K01-04 + MODSPEC-V1.3</x:v>
      </x:c>
    </x:row>
    <x:row r="28" ht="34" customHeight="1">
      <x:c r="A28" s="59" t="str">
        <x:v>M02-F005</x:v>
      </x:c>
      <x:c r="B28" s="59" t="str">
        <x:v>M02</x:v>
      </x:c>
      <x:c r="C28" s="59" t="str">
        <x:v>K-WP01</x:v>
      </x:c>
      <x:c r="D28" s="59" t="str">
        <x:v>Khải</x:v>
      </x:c>
      <x:c r="E28" s="59" t="str">
        <x:v>Phát hiện dấu hiệu cơ bản: dùng IP thay tên miền, URL quá dài, ký tự bất thường, `@` trong host</x:v>
      </x:c>
      <x:c r="F28" s="59" t="str">
        <x:v>K01-05</x:v>
      </x:c>
    </x:row>
    <x:row r="29" ht="34" customHeight="1">
      <x:c r="A29" s="59" t="str">
        <x:v>M02-F009</x:v>
      </x:c>
      <x:c r="B29" s="59" t="str">
        <x:v>M02</x:v>
      </x:c>
      <x:c r="C29" s="59" t="str">
        <x:v>K-WP02</x:v>
      </x:c>
      <x:c r="D29" s="59" t="str">
        <x:v>Khải</x:v>
      </x:c>
      <x:c r="E29" s="59" t="str">
        <x:v>Chặn dải IP nội bộ: `127.0.0.0/8`, `10/8`, `172.16/12`, `192.168/16`, `169.254/16`, `::1`, `fc00::/7`</x:v>
      </x:c>
      <x:c r="F29" s="59" t="str">
        <x:v>K02-01</x:v>
      </x:c>
    </x:row>
    <x:row r="30" ht="34" customHeight="1">
      <x:c r="A30" s="59" t="str">
        <x:v>M02-F010</x:v>
      </x:c>
      <x:c r="B30" s="59" t="str">
        <x:v>M02</x:v>
      </x:c>
      <x:c r="C30" s="59" t="str">
        <x:v>K-WP02</x:v>
      </x:c>
      <x:c r="D30" s="59" t="str">
        <x:v>Khải</x:v>
      </x:c>
      <x:c r="E30" s="59" t="str">
        <x:v>Phân giải DNS trước, kiểm tra IP đích, rồi mới kết nối (chống DNS rebinding)</x:v>
      </x:c>
      <x:c r="F30" s="59" t="str">
        <x:v>K02-02</x:v>
      </x:c>
    </x:row>
    <x:row r="31" ht="34" customHeight="1">
      <x:c r="A31" s="59" t="str">
        <x:v>M02-F011</x:v>
      </x:c>
      <x:c r="B31" s="59" t="str">
        <x:v>M02</x:v>
      </x:c>
      <x:c r="C31" s="59" t="str">
        <x:v>K-WP02</x:v>
      </x:c>
      <x:c r="D31" s="59" t="str">
        <x:v>Khải</x:v>
      </x:c>
      <x:c r="E31" s="59" t="str">
        <x:v>Chỉ cho phép scheme `http` và `https`</x:v>
      </x:c>
      <x:c r="F31" s="59" t="str">
        <x:v>K02-03</x:v>
      </x:c>
    </x:row>
    <x:row r="32" ht="34" customHeight="1">
      <x:c r="A32" s="59" t="str">
        <x:v>M02-F012</x:v>
      </x:c>
      <x:c r="B32" s="59" t="str">
        <x:v>M02</x:v>
      </x:c>
      <x:c r="C32" s="59" t="str">
        <x:v>K-WP02</x:v>
      </x:c>
      <x:c r="D32" s="59" t="str">
        <x:v>Khải</x:v>
      </x:c>
      <x:c r="E32" s="59" t="str">
        <x:v>Giới hạn kích thước phản hồi và thời gian chờ, huỷ khi vượt ngưỡng</x:v>
      </x:c>
      <x:c r="F32" s="59" t="str">
        <x:v>K02-04</x:v>
      </x:c>
    </x:row>
    <x:row r="33" ht="34" customHeight="1">
      <x:c r="A33" s="59" t="str">
        <x:v>M02-F013</x:v>
      </x:c>
      <x:c r="B33" s="59" t="str">
        <x:v>M02</x:v>
      </x:c>
      <x:c r="C33" s="59" t="str">
        <x:v>K-WP02</x:v>
      </x:c>
      <x:c r="D33" s="59" t="str">
        <x:v>Khải</x:v>
      </x:c>
      <x:c r="E33" s="59" t="str">
        <x:v>Kiểm tra lại IP đích ở **mỗi** bước chuyển hướng, không chỉ URL đầu tiên</x:v>
      </x:c>
      <x:c r="F33" s="59" t="str">
        <x:v>K02-05</x:v>
      </x:c>
    </x:row>
    <x:row r="34" ht="34" customHeight="1">
      <x:c r="A34" s="59" t="str">
        <x:v>M02-F017</x:v>
      </x:c>
      <x:c r="B34" s="59" t="str">
        <x:v>M02</x:v>
      </x:c>
      <x:c r="C34" s="59" t="str">
        <x:v>K-WP03</x:v>
      </x:c>
      <x:c r="D34" s="59" t="str">
        <x:v>Khải</x:v>
      </x:c>
      <x:c r="E34" s="59" t="str">
        <x:v>Theo redirect tối đa N bước (mặc định 5), ghi lại toàn bộ chuỗi</x:v>
      </x:c>
      <x:c r="F34" s="59" t="str">
        <x:v>K03-01</x:v>
      </x:c>
    </x:row>
    <x:row r="35" ht="34" customHeight="1">
      <x:c r="A35" s="59" t="str">
        <x:v>M02-F018</x:v>
      </x:c>
      <x:c r="B35" s="59" t="str">
        <x:v>M02</x:v>
      </x:c>
      <x:c r="C35" s="59" t="str">
        <x:v>K-WP03</x:v>
      </x:c>
      <x:c r="D35" s="59" t="str">
        <x:v>Khải</x:v>
      </x:c>
      <x:c r="E35" s="59" t="str">
        <x:v>Cảnh báo khi chuỗi quá dài hoặc có vòng lặp</x:v>
      </x:c>
      <x:c r="F35" s="59" t="str">
        <x:v>K03-02</x:v>
      </x:c>
    </x:row>
    <x:row r="36" ht="34" customHeight="1">
      <x:c r="A36" s="59" t="str">
        <x:v>M02-F024</x:v>
      </x:c>
      <x:c r="B36" s="59" t="str">
        <x:v>M02</x:v>
      </x:c>
      <x:c r="C36" s="59" t="str">
        <x:v>K-WP04</x:v>
      </x:c>
      <x:c r="D36" s="59" t="str">
        <x:v>Khải</x:v>
      </x:c>
      <x:c r="E36" s="59" t="str">
        <x:v>Kiểm tra có HTTPS hay không</x:v>
      </x:c>
      <x:c r="F36" s="59" t="str">
        <x:v>K04-01</x:v>
      </x:c>
    </x:row>
    <x:row r="37" ht="34" customHeight="1">
      <x:c r="A37" s="59" t="str">
        <x:v>M02-F025</x:v>
      </x:c>
      <x:c r="B37" s="59" t="str">
        <x:v>M02</x:v>
      </x:c>
      <x:c r="C37" s="59" t="str">
        <x:v>K-WP04</x:v>
      </x:c>
      <x:c r="D37" s="59" t="str">
        <x:v>Khải</x:v>
      </x:c>
      <x:c r="E37" s="59" t="str">
        <x:v>Kiểm tra chứng chỉ còn hạn và khớp tên miền</x:v>
      </x:c>
      <x:c r="F37" s="59" t="str">
        <x:v>K04-02</x:v>
      </x:c>
    </x:row>
    <x:row r="38" ht="34" customHeight="1">
      <x:c r="A38" s="59" t="str">
        <x:v>M02-F031</x:v>
      </x:c>
      <x:c r="B38" s="59" t="str">
        <x:v>M02</x:v>
      </x:c>
      <x:c r="C38" s="59" t="str">
        <x:v>K-WP05</x:v>
      </x:c>
      <x:c r="D38" s="59" t="str">
        <x:v>Khải</x:v>
      </x:c>
      <x:c r="E38" s="59" t="str">
        <x:v>Parse HTML bằng Jsoup, trích xuất toàn bộ `&lt;form&gt;` và `&lt;input&gt;`</x:v>
      </x:c>
      <x:c r="F38" s="59" t="str">
        <x:v>K05-01</x:v>
      </x:c>
    </x:row>
    <x:row r="39" ht="34" customHeight="1">
      <x:c r="A39" s="59" t="str">
        <x:v>M02-F032</x:v>
      </x:c>
      <x:c r="B39" s="59" t="str">
        <x:v>M02</x:v>
      </x:c>
      <x:c r="C39" s="59" t="str">
        <x:v>K-WP05</x:v>
      </x:c>
      <x:c r="D39" s="59" t="str">
        <x:v>Khải</x:v>
      </x:c>
      <x:c r="E39" s="59" t="str">
        <x:v>Phát hiện input nhạy cảm: password, OTP, PIN, CVV, số thẻ, CCCD, số tài khoản</x:v>
      </x:c>
      <x:c r="F39" s="59" t="str">
        <x:v>K05-02</x:v>
      </x:c>
    </x:row>
    <x:row r="40" ht="34" customHeight="1">
      <x:c r="A40" s="59" t="str">
        <x:v>M02-F033</x:v>
      </x:c>
      <x:c r="B40" s="59" t="str">
        <x:v>M02</x:v>
      </x:c>
      <x:c r="C40" s="59" t="str">
        <x:v>K-WP05</x:v>
      </x:c>
      <x:c r="D40" s="59" t="str">
        <x:v>Khải</x:v>
      </x:c>
      <x:c r="E40" s="59" t="str">
        <x:v>Cảnh báo `form action` trỏ sang tên miền khác hoặc không dùng HTTPS</x:v>
      </x:c>
      <x:c r="F40" s="59" t="str">
        <x:v>K05-03</x:v>
      </x:c>
    </x:row>
    <x:row r="41" ht="34" customHeight="1">
      <x:c r="A41" s="59" t="str">
        <x:v>M02-F039</x:v>
      </x:c>
      <x:c r="B41" s="59" t="str">
        <x:v>M02</x:v>
      </x:c>
      <x:c r="C41" s="59" t="str">
        <x:v>K-WP06</x:v>
      </x:c>
      <x:c r="D41" s="59" t="str">
        <x:v>Khải</x:v>
      </x:c>
      <x:c r="E41" s="59" t="str">
        <x:v>So khoảng cách Levenshtein giữa tên miền và danh sách thương hiệu</x:v>
      </x:c>
      <x:c r="F41" s="59" t="str">
        <x:v>K06-01</x:v>
      </x:c>
    </x:row>
    <x:row r="42" ht="34" customHeight="1">
      <x:c r="A42" s="59" t="str">
        <x:v>M02-F040</x:v>
      </x:c>
      <x:c r="B42" s="59" t="str">
        <x:v>M02</x:v>
      </x:c>
      <x:c r="C42" s="59" t="str">
        <x:v>K-WP06</x:v>
      </x:c>
      <x:c r="D42" s="59" t="str">
        <x:v>Khải</x:v>
      </x:c>
      <x:c r="E42" s="59" t="str">
        <x:v>Phát hiện tên miền lộ ra thương hiệu sau khi gỡ leetspeak</x:v>
      </x:c>
      <x:c r="F42" s="59" t="str">
        <x:v>K06-02</x:v>
      </x:c>
    </x:row>
    <x:row r="43" ht="34" customHeight="1">
      <x:c r="A43" s="59" t="str">
        <x:v>M02-F053</x:v>
      </x:c>
      <x:c r="B43" s="59" t="str">
        <x:v>M02</x:v>
      </x:c>
      <x:c r="C43" s="59" t="str">
        <x:v>K-WP08</x:v>
      </x:c>
      <x:c r="D43" s="59" t="str">
        <x:v>Khải</x:v>
      </x:c>
      <x:c r="E43" s="59" t="str">
        <x:v>Màn hình nhập liệu 4 tab: URL, văn bản, số điện thoại, số tài khoản</x:v>
      </x:c>
      <x:c r="F43" s="59" t="str">
        <x:v>T11-02</x:v>
      </x:c>
    </x:row>
    <x:row r="44" ht="34" customHeight="1">
      <x:c r="A44" s="59" t="str">
        <x:v>M02-F054</x:v>
      </x:c>
      <x:c r="B44" s="59" t="str">
        <x:v>M02</x:v>
      </x:c>
      <x:c r="C44" s="59" t="str">
        <x:v>K-WP08</x:v>
      </x:c>
      <x:c r="D44" s="59" t="str">
        <x:v>Khải</x:v>
      </x:c>
      <x:c r="E44" s="59" t="str">
        <x:v>URL Worker chỉ trả `AnalysisSignal[]`, `DerivedIndicator[]` và `pendingAiTasks[]`; Spring Boot/M12 mới aggregate, gọi M09 và persist final `RiskResult`.</x:v>
      </x:c>
      <x:c r="F44" s="59" t="str">
        <x:v>ARCH-V3.2-01</x:v>
      </x:c>
    </x:row>
    <x:row r="45" ht="34" customHeight="1">
      <x:c r="A45" s="59" t="str">
        <x:v>M02-F055</x:v>
      </x:c>
      <x:c r="B45" s="59" t="str">
        <x:v>M02</x:v>
      </x:c>
      <x:c r="C45" s="59" t="str">
        <x:v>K-WP08</x:v>
      </x:c>
      <x:c r="D45" s="59" t="str">
        <x:v>Khải</x:v>
      </x:c>
      <x:c r="E45" s="59" t="str">
        <x:v>Spring Boot core pre-enrich known URL/domain reputation trước khi publish job; redirect/domain mới được worker trả về `DerivedIndicator` với `handling=REPUTATION_ONLY\|CHILD_SCAN`, worker không gọi ngược core.</x:v>
      </x:c>
      <x:c r="F45" s="59" t="str">
        <x:v>ARCH-V3.2-02</x:v>
      </x:c>
    </x:row>
    <x:row r="46" ht="34" customHeight="1">
      <x:c r="A46" s="59" t="str">
        <x:v>M02-F056</x:v>
      </x:c>
      <x:c r="B46" s="59" t="str">
        <x:v>M02</x:v>
      </x:c>
      <x:c r="C46" s="59" t="str">
        <x:v>K-WP08</x:v>
      </x:c>
      <x:c r="D46" s="59" t="str">
        <x:v>Khải</x:v>
      </x:c>
      <x:c r="E46" s="59" t="str">
        <x:v>Deferred reputation chạy trong core qua `ThreatQuery`: Redis→PostgreSQL, timeout ban đầu 500 ms; unavailable → `REPUTATION_UNAVAILABLE` nhưng scan tiếp tục degraded khi phù hợp.</x:v>
      </x:c>
      <x:c r="F46" s="59" t="str">
        <x:v>ARCH-V3.2-03</x:v>
      </x:c>
    </x:row>
    <x:row r="47" ht="34" customHeight="1">
      <x:c r="A47" s="59" t="str">
        <x:v>M03-F001</x:v>
      </x:c>
      <x:c r="B47" s="59" t="str">
        <x:v>M03</x:v>
      </x:c>
      <x:c r="C47" s="59" t="str">
        <x:v>T-WP01</x:v>
      </x:c>
      <x:c r="D47" s="59" t="str">
        <x:v>Thắng</x:v>
      </x:c>
      <x:c r="E47" s="59" t="str">
        <x:v>Hạ chữ thường, bỏ dấu tiếng Việt, gộp khoảng trắng</x:v>
      </x:c>
      <x:c r="F47" s="59" t="str">
        <x:v>H09-01</x:v>
      </x:c>
    </x:row>
    <x:row r="48" ht="34" customHeight="1">
      <x:c r="A48" s="59" t="str">
        <x:v>M03-F002</x:v>
      </x:c>
      <x:c r="B48" s="59" t="str">
        <x:v>M03</x:v>
      </x:c>
      <x:c r="C48" s="59" t="str">
        <x:v>T-WP01</x:v>
      </x:c>
      <x:c r="D48" s="59" t="str">
        <x:v>Thắng</x:v>
      </x:c>
      <x:c r="E48" s="59" t="str">
        <x:v>Gỡ leetspeak theo token có chứa chữ cái (`vi3tc0mb4nk` → `vietcombank`)</x:v>
      </x:c>
      <x:c r="F48" s="59" t="str">
        <x:v>H09-02</x:v>
      </x:c>
    </x:row>
    <x:row r="49" ht="34" customHeight="1">
      <x:c r="A49" s="59" t="str">
        <x:v>M03-F003</x:v>
      </x:c>
      <x:c r="B49" s="59" t="str">
        <x:v>M03</x:v>
      </x:c>
      <x:c r="C49" s="59" t="str">
        <x:v>T-WP01</x:v>
      </x:c>
      <x:c r="D49" s="59" t="str">
        <x:v>Thắng</x:v>
      </x:c>
      <x:c r="E49" s="59" t="str">
        <x:v>So sánh hai mức chuẩn hoá để phát hiện cố tình né bộ lọc (fact `LEET_BRAND`)</x:v>
      </x:c>
      <x:c r="F49" s="59" t="str">
        <x:v>H09-03</x:v>
      </x:c>
    </x:row>
    <x:row r="50" ht="34" customHeight="1">
      <x:c r="A50" s="59" t="str">
        <x:v>M03-F008</x:v>
      </x:c>
      <x:c r="B50" s="59" t="str">
        <x:v>M03</x:v>
      </x:c>
      <x:c r="C50" s="59" t="str">
        <x:v>T-WP02</x:v>
      </x:c>
      <x:c r="D50" s="59" t="str">
        <x:v>Thắng</x:v>
      </x:c>
      <x:c r="E50" s="59" t="str">
        <x:v>`POST /v1/scans/text` xử lý bất đồng bộ qua `q.scan.text`, tối đa 20.000 ký tự ban đầu, trả `202 + scanId` khi tạo job thành công.</x:v>
      </x:c>
      <x:c r="F50" s="59" t="str">
        <x:v>R01-01</x:v>
      </x:c>
    </x:row>
    <x:row r="51" ht="34" customHeight="1">
      <x:c r="A51" s="59" t="str">
        <x:v>M03-F009</x:v>
      </x:c>
      <x:c r="B51" s="59" t="str">
        <x:v>M03</x:v>
      </x:c>
      <x:c r="C51" s="59" t="str">
        <x:v>T-WP02</x:v>
      </x:c>
      <x:c r="D51" s="59" t="str">
        <x:v>Thắng</x:v>
      </x:c>
      <x:c r="E51" s="59" t="str">
        <x:v>Khớp từ khoá theo 6 nhóm: khẩn cấp, giả danh, thông tin nhạy cảm, chuyển tiền, quá tốt để tin, mời việc làm</x:v>
      </x:c>
      <x:c r="F51" s="59" t="str">
        <x:v>R01-02</x:v>
      </x:c>
    </x:row>
    <x:row r="52" ht="34" customHeight="1">
      <x:c r="A52" s="59" t="str">
        <x:v>M03-F010</x:v>
      </x:c>
      <x:c r="B52" s="59" t="str">
        <x:v>M03</x:v>
      </x:c>
      <x:c r="C52" s="59" t="str">
        <x:v>T-WP02</x:v>
      </x:c>
      <x:c r="D52" s="59" t="str">
        <x:v>Thắng</x:v>
      </x:c>
      <x:c r="E52" s="59" t="str">
        <x:v>Nhận diện mẫu tổ hợp: giả mạo ngân hàng, giả danh cơ quan, trúng thưởng, tuyển CTV, shipper giả</x:v>
      </x:c>
      <x:c r="F52" s="59" t="str">
        <x:v>R01-03</x:v>
      </x:c>
    </x:row>
    <x:row r="53" ht="34" customHeight="1">
      <x:c r="A53" s="59" t="str">
        <x:v>M03-F011</x:v>
      </x:c>
      <x:c r="B53" s="59" t="str">
        <x:v>M03</x:v>
      </x:c>
      <x:c r="C53" s="59" t="str">
        <x:v>T-WP02</x:v>
      </x:c>
      <x:c r="D53" s="59" t="str">
        <x:v>Thắng</x:v>
      </x:c>
      <x:c r="E53" s="59" t="str">
        <x:v>Trang quét nội dung trên web, hiển thị điểm và bằng chứng</x:v>
      </x:c>
      <x:c r="F53" s="59" t="str">
        <x:v>R01-04</x:v>
      </x:c>
    </x:row>
    <x:row r="54" ht="34" customHeight="1">
      <x:c r="A54" s="59" t="str">
        <x:v>M03-F016</x:v>
      </x:c>
      <x:c r="B54" s="59" t="str">
        <x:v>M03</x:v>
      </x:c>
      <x:c r="C54" s="59" t="str">
        <x:v>T-WP03</x:v>
      </x:c>
      <x:c r="D54" s="59" t="str">
        <x:v>Thắng</x:v>
      </x:c>
      <x:c r="E54" s="59" t="str">
        <x:v>Trích xuất URL (kể cả không có scheme) và địa chỉ IP</x:v>
      </x:c>
      <x:c r="F54" s="59" t="str">
        <x:v>R02-01</x:v>
      </x:c>
    </x:row>
    <x:row r="55" ht="34" customHeight="1">
      <x:c r="A55" s="59" t="str">
        <x:v>M03-F017</x:v>
      </x:c>
      <x:c r="B55" s="59" t="str">
        <x:v>M03</x:v>
      </x:c>
      <x:c r="C55" s="59" t="str">
        <x:v>T-WP03</x:v>
      </x:c>
      <x:c r="D55" s="59" t="str">
        <x:v>Thắng</x:v>
      </x:c>
      <x:c r="E55" s="59" t="str">
        <x:v>Trích xuất số điện thoại Việt Nam, chuẩn hoá về `+84...`</x:v>
      </x:c>
      <x:c r="F55" s="59" t="str">
        <x:v>R02-02</x:v>
      </x:c>
    </x:row>
    <x:row r="56" ht="34" customHeight="1">
      <x:c r="A56" s="59" t="str">
        <x:v>M03-F018</x:v>
      </x:c>
      <x:c r="B56" s="59" t="str">
        <x:v>M03</x:v>
      </x:c>
      <x:c r="C56" s="59" t="str">
        <x:v>T-WP03</x:v>
      </x:c>
      <x:c r="D56" s="59" t="str">
        <x:v>Thắng</x:v>
      </x:c>
      <x:c r="E56" s="59" t="str">
        <x:v>Trích xuất số tài khoản ngân hàng, không nhầm với số điện thoại</x:v>
      </x:c>
      <x:c r="F56" s="59" t="str">
        <x:v>R02-03</x:v>
      </x:c>
    </x:row>
    <x:row r="57" ht="34" customHeight="1">
      <x:c r="A57" s="59" t="str">
        <x:v>M03-F019</x:v>
      </x:c>
      <x:c r="B57" s="59" t="str">
        <x:v>M03</x:v>
      </x:c>
      <x:c r="C57" s="59" t="str">
        <x:v>T-WP03</x:v>
      </x:c>
      <x:c r="D57" s="59" t="str">
        <x:v>Thắng</x:v>
      </x:c>
      <x:c r="E57" s="59" t="str">
        <x:v>Trích xuất số tiền (`500k`, `100 triệu`, `1.000.000đ`)</x:v>
      </x:c>
      <x:c r="F57" s="59" t="str">
        <x:v>R02-04</x:v>
      </x:c>
    </x:row>
    <x:row r="58" ht="34" customHeight="1">
      <x:c r="A58" s="59" t="str">
        <x:v>M03-F020</x:v>
      </x:c>
      <x:c r="B58" s="59" t="str">
        <x:v>M03</x:v>
      </x:c>
      <x:c r="C58" s="59" t="str">
        <x:v>T-WP03</x:v>
      </x:c>
      <x:c r="D58" s="59" t="str">
        <x:v>Thắng</x:v>
      </x:c>
      <x:c r="E58" s="59" t="str">
        <x:v>Trích xuất mã OTP theo ngữ cảnh từ khoá</x:v>
      </x:c>
      <x:c r="F58" s="59" t="str">
        <x:v>R02-05</x:v>
      </x:c>
    </x:row>
    <x:row r="59" ht="34" customHeight="1">
      <x:c r="A59" s="59" t="str">
        <x:v>M03-F024</x:v>
      </x:c>
      <x:c r="B59" s="59" t="str">
        <x:v>M03</x:v>
      </x:c>
      <x:c r="C59" s="59" t="str">
        <x:v>T-WP04</x:v>
      </x:c>
      <x:c r="D59" s="59" t="str">
        <x:v>Thắng</x:v>
      </x:c>
      <x:c r="E59" s="59" t="str">
        <x:v>Định nghĩa và phân loại các mẫu lừa đảo phổ biến tại Việt Nam</x:v>
      </x:c>
      <x:c r="F59" s="59" t="str">
        <x:v>R03-01</x:v>
      </x:c>
    </x:row>
    <x:row r="60" ht="34" customHeight="1">
      <x:c r="A60" s="59" t="str">
        <x:v>M03-F031</x:v>
      </x:c>
      <x:c r="B60" s="59" t="str">
        <x:v>M03</x:v>
      </x:c>
      <x:c r="C60" s="59" t="str">
        <x:v>T-WP05</x:v>
      </x:c>
      <x:c r="D60" s="59" t="str">
        <x:v>Thắng</x:v>
      </x:c>
      <x:c r="E60" s="59" t="str">
        <x:v>Nhóm từ khoá lưu trong cấu hình, tự chuẩn hoá khi nạp</x:v>
      </x:c>
      <x:c r="F60" s="59" t="str">
        <x:v>R07-01</x:v>
      </x:c>
    </x:row>
    <x:row r="61" ht="34" customHeight="1">
      <x:c r="A61" s="59" t="str">
        <x:v>M03-F044</x:v>
      </x:c>
      <x:c r="B61" s="59" t="str">
        <x:v>M03</x:v>
      </x:c>
      <x:c r="C61" s="59" t="str">
        <x:v>T-WP07</x:v>
      </x:c>
      <x:c r="D61" s="59" t="str">
        <x:v>Thắng</x:v>
      </x:c>
      <x:c r="E61" s="59" t="str">
        <x:v>**Không** đọc SMS, notification, call log, danh bạ hay clipboard ngầm; **không** dùng Accessibility Service</x:v>
      </x:c>
      <x:c r="F61" s="59" t="str">
        <x:v>T11-05</x:v>
      </x:c>
    </x:row>
    <x:row r="62" ht="34" customHeight="1">
      <x:c r="A62" s="59" t="str">
        <x:v>M03-F046</x:v>
      </x:c>
      <x:c r="B62" s="59" t="str">
        <x:v>M03</x:v>
      </x:c>
      <x:c r="C62" s="59" t="str">
        <x:v>T-WP07</x:v>
      </x:c>
      <x:c r="D62" s="59" t="str">
        <x:v>Thắng</x:v>
      </x:c>
      <x:c r="E62" s="59" t="str">
        <x:v>`TEXT.contentType` thống nhất `MESSAGE \| TRANSACTION_POST`; không tạo endpoint riêng cho transaction post.</x:v>
      </x:c>
      <x:c r="F62" s="59" t="str">
        <x:v>ARCH-04 (Architecture V3.2)</x:v>
      </x:c>
    </x:row>
    <x:row r="63" ht="34" customHeight="1">
      <x:c r="A63" s="59" t="str">
        <x:v>M03-F047</x:v>
      </x:c>
      <x:c r="B63" s="59" t="str">
        <x:v>M03</x:v>
      </x:c>
      <x:c r="C63" s="59" t="str">
        <x:v>T-WP07</x:v>
      </x:c>
      <x:c r="D63" s="59" t="str">
        <x:v>Thắng</x:v>
      </x:c>
      <x:c r="E63" s="59" t="str">
        <x:v>Text Worker trả `DerivedIndicator[]` cho URL/Phone/Bank và `pendingAiTasks[]`; M12 Orchestrator quyết định `REPUTATION_ONLY`/`CHILD_SCAN`, tạo child scans và chờ AI task, worker không gọi worker/core trực tiếp.</x:v>
      </x:c>
      <x:c r="F63" s="59" t="str">
        <x:v>ARCH-V3.2-04</x:v>
      </x:c>
    </x:row>
    <x:row r="64" ht="34" customHeight="1">
      <x:c r="A64" s="59" t="str">
        <x:v>M03-F048</x:v>
      </x:c>
      <x:c r="B64" s="59" t="str">
        <x:v>M03</x:v>
      </x:c>
      <x:c r="C64" s="59" t="str">
        <x:v>T-WP07</x:v>
      </x:c>
      <x:c r="D64" s="59" t="str">
        <x:v>Thắng</x:v>
      </x:c>
      <x:c r="E64" s="59" t="str">
        <x:v>Phát hiện yêu cầu/thu thập CCCD như `SENSITIVE_IDENTITY_REQUEST`/sensitive-data signal; không có standalone CCCD lookup trong MVP.</x:v>
      </x:c>
      <x:c r="F64" s="59" t="str">
        <x:v>ARCH-06 (Architecture V3.2)</x:v>
      </x:c>
    </x:row>
    <x:row r="65" ht="34" customHeight="1">
      <x:c r="A65" s="59" t="str">
        <x:v>M04-F001</x:v>
      </x:c>
      <x:c r="B65" s="59" t="str">
        <x:v>M04</x:v>
      </x:c>
      <x:c r="C65" s="59" t="str">
        <x:v>K-WP09</x:v>
      </x:c>
      <x:c r="D65" s="59" t="str">
        <x:v>Khải</x:v>
      </x:c>
      <x:c r="E65" s="59" t="str">
        <x:v>`POST /v1/scans/entity` (`entityType=PHONE`), chuẩn hoá về `+84xxxxxxxxx`</x:v>
      </x:c>
      <x:c r="F65" s="59" t="str">
        <x:v>T01-01</x:v>
      </x:c>
    </x:row>
    <x:row r="66" ht="34" customHeight="1">
      <x:c r="A66" s="59" t="str">
        <x:v>M04-F002</x:v>
      </x:c>
      <x:c r="B66" s="59" t="str">
        <x:v>M04</x:v>
      </x:c>
      <x:c r="C66" s="59" t="str">
        <x:v>K-WP09</x:v>
      </x:c>
      <x:c r="D66" s="59" t="str">
        <x:v>Khải</x:v>
      </x:c>
      <x:c r="E66" s="59" t="str">
        <x:v>Tra `risk_entities` và số lượt bị báo cáo</x:v>
      </x:c>
      <x:c r="F66" s="59" t="str">
        <x:v>T01-02</x:v>
      </x:c>
    </x:row>
    <x:row r="67" ht="34" customHeight="1">
      <x:c r="A67" s="59" t="str">
        <x:v>M04-F003</x:v>
      </x:c>
      <x:c r="B67" s="59" t="str">
        <x:v>M04</x:v>
      </x:c>
      <x:c r="C67" s="59" t="str">
        <x:v>K-WP09</x:v>
      </x:c>
      <x:c r="D67" s="59" t="str">
        <x:v>Khải</x:v>
      </x:c>
      <x:c r="E67" s="59" t="str">
        <x:v>Tính điểm theo: có trong danh sách đen, số báo cáo, số báo cáo đã xác minh</x:v>
      </x:c>
      <x:c r="F67" s="59" t="str">
        <x:v>T01-03</x:v>
      </x:c>
    </x:row>
    <x:row r="68" ht="34" customHeight="1">
      <x:c r="A68" s="59" t="str">
        <x:v>M04-F009</x:v>
      </x:c>
      <x:c r="B68" s="59" t="str">
        <x:v>M04</x:v>
      </x:c>
      <x:c r="C68" s="59" t="str">
        <x:v>K-WP10</x:v>
      </x:c>
      <x:c r="D68" s="59" t="str">
        <x:v>Khải</x:v>
      </x:c>
      <x:c r="E68" s="59" t="str">
        <x:v>`POST /v1/scans/entity` (`entityType=BANK_ACCOUNT`), chuẩn hoá số tài khoản và mã ngân hàng</x:v>
      </x:c>
      <x:c r="F68" s="59" t="str">
        <x:v>T02-01</x:v>
      </x:c>
    </x:row>
    <x:row r="69" ht="34" customHeight="1">
      <x:c r="A69" s="59" t="str">
        <x:v>M04-F010</x:v>
      </x:c>
      <x:c r="B69" s="59" t="str">
        <x:v>M04</x:v>
      </x:c>
      <x:c r="C69" s="59" t="str">
        <x:v>K-WP10</x:v>
      </x:c>
      <x:c r="D69" s="59" t="str">
        <x:v>Khải</x:v>
      </x:c>
      <x:c r="E69" s="59" t="str">
        <x:v>Validate mã ngân hàng theo danh sách ngân hàng Việt Nam</x:v>
      </x:c>
      <x:c r="F69" s="59" t="str">
        <x:v>T02-02</x:v>
      </x:c>
    </x:row>
    <x:row r="70" ht="34" customHeight="1">
      <x:c r="A70" s="59" t="str">
        <x:v>M04-F011</x:v>
      </x:c>
      <x:c r="B70" s="59" t="str">
        <x:v>M04</x:v>
      </x:c>
      <x:c r="C70" s="59" t="str">
        <x:v>K-WP10</x:v>
      </x:c>
      <x:c r="D70" s="59" t="str">
        <x:v>Khải</x:v>
      </x:c>
      <x:c r="E70" s="59" t="str">
        <x:v>Tra `risk_entities` và các báo cáo liên quan</x:v>
      </x:c>
      <x:c r="F70" s="59" t="str">
        <x:v>T02-03</x:v>
      </x:c>
    </x:row>
    <x:row r="71" ht="34" customHeight="1">
      <x:c r="A71" s="59" t="str">
        <x:v>M04-F017</x:v>
      </x:c>
      <x:c r="B71" s="59" t="str">
        <x:v>M04</x:v>
      </x:c>
      <x:c r="C71" s="59" t="str">
        <x:v>K-WP11</x:v>
      </x:c>
      <x:c r="D71" s="59" t="str">
        <x:v>Khải</x:v>
      </x:c>
      <x:c r="E71" s="59" t="str">
        <x:v>Phone và Bank dùng chung `POST /v1/scans/entity` + `entityType`; validation/normalization theo strategy.</x:v>
      </x:c>
      <x:c r="F71" s="59" t="str">
        <x:v>ARCH-07 (Architecture V3.2)</x:v>
      </x:c>
    </x:row>
    <x:row r="72" ht="34" customHeight="1">
      <x:c r="A72" s="59" t="str">
        <x:v>M04-F018</x:v>
      </x:c>
      <x:c r="B72" s="59" t="str">
        <x:v>M04</x:v>
      </x:c>
      <x:c r="C72" s="59" t="str">
        <x:v>K-WP11</x:v>
      </x:c>
      <x:c r="D72" s="59" t="str">
        <x:v>Khải</x:v>
      </x:c>
      <x:c r="E72" s="59" t="str">
        <x:v>UI/result phải phân biệt `NO_DATA` với verified-safe; không tìm thấy dữ liệu rủi ro không được diễn giải thành an toàn tuyệt đối.</x:v>
      </x:c>
      <x:c r="F72" s="59" t="str">
        <x:v>ARCH-08 (Architecture V3.2)</x:v>
      </x:c>
    </x:row>
    <x:row r="73" ht="34" customHeight="1">
      <x:c r="A73" s="59" t="str">
        <x:v>M05-F001</x:v>
      </x:c>
      <x:c r="B73" s="59" t="str">
        <x:v>M05</x:v>
      </x:c>
      <x:c r="C73" s="59" t="str">
        <x:v>T-WP08</x:v>
      </x:c>
      <x:c r="D73" s="59" t="str">
        <x:v>Thắng</x:v>
      </x:c>
      <x:c r="E73" s="59" t="str">
        <x:v>`POST /v1/scans/qr` nhận ảnh multipart hoặc encoded QR payload theo contract; Mobile có thể decode trên thiết bị nhưng server không phụ thuộc bắt buộc vào client decode.</x:v>
      </x:c>
      <x:c r="F73" s="59" t="str">
        <x:v>T03-01</x:v>
      </x:c>
    </x:row>
    <x:row r="74" ht="34" customHeight="1">
      <x:c r="A74" s="59" t="str">
        <x:v>M05-F002</x:v>
      </x:c>
      <x:c r="B74" s="59" t="str">
        <x:v>M05</x:v>
      </x:c>
      <x:c r="C74" s="59" t="str">
        <x:v>T-WP08</x:v>
      </x:c>
      <x:c r="D74" s="59" t="str">
        <x:v>Thắng</x:v>
      </x:c>
      <x:c r="E74" s="59" t="str">
        <x:v>Phân loại nội dung QR: URL / VietQR / văn bản thường / không xác định</x:v>
      </x:c>
      <x:c r="F74" s="59" t="str">
        <x:v>T03-02</x:v>
      </x:c>
    </x:row>
    <x:row r="75" ht="34" customHeight="1">
      <x:c r="A75" s="59" t="str">
        <x:v>M05-F003</x:v>
      </x:c>
      <x:c r="B75" s="59" t="str">
        <x:v>M05</x:v>
      </x:c>
      <x:c r="C75" s="59" t="str">
        <x:v>T-WP08</x:v>
      </x:c>
      <x:c r="D75" s="59" t="str">
        <x:v>Thắng</x:v>
      </x:c>
      <x:c r="E75" s="59" t="str">
        <x:v>Định tuyến: URL → quét URL, VietQR → tra tài khoản, văn bản → phân tích nội dung</x:v>
      </x:c>
      <x:c r="F75" s="59" t="str">
        <x:v>T03-03</x:v>
      </x:c>
    </x:row>
    <x:row r="76" ht="34" customHeight="1">
      <x:c r="A76" s="59" t="str">
        <x:v>M05-F004</x:v>
      </x:c>
      <x:c r="B76" s="59" t="str">
        <x:v>M05</x:v>
      </x:c>
      <x:c r="C76" s="59" t="str">
        <x:v>T-WP08</x:v>
      </x:c>
      <x:c r="D76" s="59" t="str">
        <x:v>Thắng</x:v>
      </x:c>
      <x:c r="E76" s="59" t="str">
        <x:v>Parse VietQR lấy mã ngân hàng, số tài khoản, số tiền, nội dung chuyển khoản</x:v>
      </x:c>
      <x:c r="F76" s="59" t="str">
        <x:v>T03-04</x:v>
      </x:c>
    </x:row>
    <x:row r="77" ht="34" customHeight="1">
      <x:c r="A77" s="59" t="str">
        <x:v>M05-F005</x:v>
      </x:c>
      <x:c r="B77" s="59" t="str">
        <x:v>M05</x:v>
      </x:c>
      <x:c r="C77" s="59" t="str">
        <x:v>T-WP08</x:v>
      </x:c>
      <x:c r="D77" s="59" t="str">
        <x:v>Thắng</x:v>
      </x:c>
      <x:c r="E77" s="59" t="str">
        <x:v>QR chứa URL bắt buộc đi qua SSRF guard</x:v>
      </x:c>
      <x:c r="F77" s="59" t="str">
        <x:v>T03-05</x:v>
      </x:c>
    </x:row>
    <x:row r="78" ht="34" customHeight="1">
      <x:c r="A78" s="59" t="str">
        <x:v>M05-F009</x:v>
      </x:c>
      <x:c r="B78" s="59" t="str">
        <x:v>M05</x:v>
      </x:c>
      <x:c r="C78" s="59" t="str">
        <x:v>T-WP08</x:v>
      </x:c>
      <x:c r="D78" s="59" t="str">
        <x:v>Thắng</x:v>
      </x:c>
      <x:c r="E78" s="59" t="str">
        <x:v>Trình quét QR bằng camera, **giải mã trên thiết bị**, chỉ gửi `qrData` lên server</x:v>
      </x:c>
      <x:c r="F78" s="59" t="str">
        <x:v>T11-03</x:v>
      </x:c>
    </x:row>
    <x:row r="79" ht="34" customHeight="1">
      <x:c r="A79" s="59" t="str">
        <x:v>M05-F010</x:v>
      </x:c>
      <x:c r="B79" s="59" t="str">
        <x:v>M05</x:v>
      </x:c>
      <x:c r="C79" s="59" t="str">
        <x:v>T-WP08</x:v>
      </x:c>
      <x:c r="D79" s="59" t="str">
        <x:v>Thắng</x:v>
      </x:c>
      <x:c r="E79" s="59" t="str">
        <x:v>QR Parser chỉ decode/classify/return `DerivedIndicator[]`; M12 Orchestrator chịu trách nhiệm dispatch URL/Text/Entity child scans.</x:v>
      </x:c>
      <x:c r="F79" s="59" t="str">
        <x:v>ARCH-09 (Architecture V3.2)</x:v>
      </x:c>
    </x:row>
    <x:row r="80" ht="34" customHeight="1">
      <x:c r="A80" s="59" t="str">
        <x:v>M06-F001</x:v>
      </x:c>
      <x:c r="B80" s="59" t="str">
        <x:v>M06</x:v>
      </x:c>
      <x:c r="C80" s="59" t="str">
        <x:v>T-WP11</x:v>
      </x:c>
      <x:c r="D80" s="59" t="str">
        <x:v>Thắng</x:v>
      </x:c>
      <x:c r="E80" s="59" t="str">
        <x:v>Người dùng xoá được lịch sử quét của mình</x:v>
      </x:c>
      <x:c r="F80" s="59" t="str">
        <x:v>H08-03</x:v>
      </x:c>
    </x:row>
    <x:row r="81" ht="34" customHeight="1">
      <x:c r="A81" s="59" t="str">
        <x:v>M06-F003</x:v>
      </x:c>
      <x:c r="B81" s="59" t="str">
        <x:v>M06</x:v>
      </x:c>
      <x:c r="C81" s="59" t="str">
        <x:v>T-WP10</x:v>
      </x:c>
      <x:c r="D81" s="59" t="str">
        <x:v>Thắng</x:v>
      </x:c>
      <x:c r="E81" s="59" t="str">
        <x:v>`GET /v1/scans/history` — chỉ trả scan mà user có quyền truy cập.</x:v>
      </x:c>
      <x:c r="F81" s="59" t="str">
        <x:v>T10-01</x:v>
      </x:c>
    </x:row>
    <x:row r="82" ht="34" customHeight="1">
      <x:c r="A82" s="59" t="str">
        <x:v>M06-F004</x:v>
      </x:c>
      <x:c r="B82" s="59" t="str">
        <x:v>M06</x:v>
      </x:c>
      <x:c r="C82" s="59" t="str">
        <x:v>T-WP10</x:v>
      </x:c>
      <x:c r="D82" s="59" t="str">
        <x:v>Thắng</x:v>
      </x:c>
      <x:c r="E82" s="59" t="str">
        <x:v>`GET /v1/scans/{scanId}` với authorization theo owner/RBAC; không để client query DB trực tiếp.</x:v>
      </x:c>
      <x:c r="F82" s="59" t="str">
        <x:v>T10-02</x:v>
      </x:c>
    </x:row>
    <x:row r="83" ht="34" customHeight="1">
      <x:c r="A83" s="59" t="str">
        <x:v>M06-F005</x:v>
      </x:c>
      <x:c r="B83" s="59" t="str">
        <x:v>M06</x:v>
      </x:c>
      <x:c r="C83" s="59" t="str">
        <x:v>T-WP10</x:v>
      </x:c>
      <x:c r="D83" s="59" t="str">
        <x:v>Thắng</x:v>
      </x:c>
      <x:c r="E83" s="59" t="str">
        <x:v>Phân trang bằng cursor</x:v>
      </x:c>
      <x:c r="F83" s="59" t="str">
        <x:v>T10-03</x:v>
      </x:c>
    </x:row>
    <x:row r="84" ht="34" customHeight="1">
      <x:c r="A84" s="59" t="str">
        <x:v>M06-F012</x:v>
      </x:c>
      <x:c r="B84" s="59" t="str">
        <x:v>M06</x:v>
      </x:c>
      <x:c r="C84" s="59" t="str">
        <x:v>T-WP12</x:v>
      </x:c>
      <x:c r="D84" s="59" t="str">
        <x:v>Thắng</x:v>
      </x:c>
      <x:c r="E84" s="59" t="str">
        <x:v>Component `RiskResultCard` dùng chung cho mọi loại kết quả quét</x:v>
      </x:c>
      <x:c r="F84" s="59" t="str">
        <x:v>T12-01</x:v>
      </x:c>
    </x:row>
    <x:row r="85" ht="34" customHeight="1">
      <x:c r="A85" s="59" t="str">
        <x:v>M06-F013</x:v>
      </x:c>
      <x:c r="B85" s="59" t="str">
        <x:v>M06</x:v>
      </x:c>
      <x:c r="C85" s="59" t="str">
        <x:v>T-WP12</x:v>
      </x:c>
      <x:c r="D85" s="59" t="str">
        <x:v>Thắng</x:v>
      </x:c>
      <x:c r="E85" s="59" t="str">
        <x:v>Hiển thị nhất quán: điểm, mức, màu, biểu tượng, danh sách bằng chứng, khuyến nghị</x:v>
      </x:c>
      <x:c r="F85" s="59" t="str">
        <x:v>T12-02</x:v>
      </x:c>
    </x:row>
    <x:row r="86" ht="34" customHeight="1">
      <x:c r="A86" s="59" t="str">
        <x:v>M06-F020</x:v>
      </x:c>
      <x:c r="B86" s="59" t="str">
        <x:v>M06</x:v>
      </x:c>
      <x:c r="C86" s="59" t="str">
        <x:v>T-WP12</x:v>
      </x:c>
      <x:c r="D86" s="59" t="str">
        <x:v>Thắng</x:v>
      </x:c>
      <x:c r="E86" s="59" t="str">
        <x:v>Dùng một `RiskResult` contract cho mọi scan type, gồm `riskScore`, `riskLevel`, `degraded`, evidence, explanations, recommendations, `policyVersion`.</x:v>
      </x:c>
      <x:c r="F86" s="59" t="str">
        <x:v>ARCH-10 (Architecture V3.2)</x:v>
      </x:c>
    </x:row>
    <x:row r="87" ht="34" customHeight="1">
      <x:c r="A87" s="59" t="str">
        <x:v>M07-F001</x:v>
      </x:c>
      <x:c r="B87" s="59" t="str">
        <x:v>M07</x:v>
      </x:c>
      <x:c r="C87" s="59" t="str">
        <x:v>K-WP12</x:v>
      </x:c>
      <x:c r="D87" s="59" t="str">
        <x:v>Khải</x:v>
      </x:c>
      <x:c r="E87" s="59" t="str">
        <x:v>`POST /v1/reports` với loại thực thể, giá trị, mô tả</x:v>
      </x:c>
      <x:c r="F87" s="59" t="str">
        <x:v>T05-01</x:v>
      </x:c>
    </x:row>
    <x:row r="88" ht="34" customHeight="1">
      <x:c r="A88" s="59" t="str">
        <x:v>M07-F002</x:v>
      </x:c>
      <x:c r="B88" s="59" t="str">
        <x:v>M07</x:v>
      </x:c>
      <x:c r="C88" s="59" t="str">
        <x:v>K-WP12</x:v>
      </x:c>
      <x:c r="D88" s="59" t="str">
        <x:v>Khải</x:v>
      </x:c>
      <x:c r="E88" s="59" t="str">
        <x:v>Rate limit 10 báo cáo / ngày / user</x:v>
      </x:c>
      <x:c r="F88" s="59" t="str">
        <x:v>T05-02</x:v>
      </x:c>
    </x:row>
    <x:row r="89" ht="34" customHeight="1">
      <x:c r="A89" s="59" t="str">
        <x:v>M07-F003</x:v>
      </x:c>
      <x:c r="B89" s="59" t="str">
        <x:v>M07</x:v>
      </x:c>
      <x:c r="C89" s="59" t="str">
        <x:v>K-WP12</x:v>
      </x:c>
      <x:c r="D89" s="59" t="str">
        <x:v>Khải</x:v>
      </x:c>
      <x:c r="E89" s="59" t="str">
        <x:v>Nút "Gửi báo cáo" ngay trong trang kết quả quét, điền sẵn dữ liệu</x:v>
      </x:c>
      <x:c r="F89" s="59" t="str">
        <x:v>T05-03</x:v>
      </x:c>
    </x:row>
    <x:row r="90" ht="34" customHeight="1">
      <x:c r="A90" s="59" t="str">
        <x:v>M07-F009</x:v>
      </x:c>
      <x:c r="B90" s="59" t="str">
        <x:v>M07</x:v>
      </x:c>
      <x:c r="C90" s="59" t="str">
        <x:v>K-WP13</x:v>
      </x:c>
      <x:c r="D90" s="59" t="str">
        <x:v>Khải</x:v>
      </x:c>
      <x:c r="E90" s="59" t="str">
        <x:v>Trạng thái báo cáo: `PENDING`, `UNDER_REVIEW`, `VERIFIED`, `REJECTED`, `NEED_MORE_INFO`, `RESOLVED`</x:v>
      </x:c>
      <x:c r="F90" s="59" t="str">
        <x:v>T06-01</x:v>
      </x:c>
    </x:row>
    <x:row r="91" ht="34" customHeight="1">
      <x:c r="A91" s="59" t="str">
        <x:v>M07-F010</x:v>
      </x:c>
      <x:c r="B91" s="59" t="str">
        <x:v>M07</x:v>
      </x:c>
      <x:c r="C91" s="59" t="str">
        <x:v>K-WP13</x:v>
      </x:c>
      <x:c r="D91" s="59" t="str">
        <x:v>Khải</x:v>
      </x:c>
      <x:c r="E91" s="59" t="str">
        <x:v>Hàng đợi duyệt cho admin, sắp xếp theo mức độ và thời gian</x:v>
      </x:c>
      <x:c r="F91" s="59" t="str">
        <x:v>T06-02</x:v>
      </x:c>
    </x:row>
    <x:row r="92" ht="34" customHeight="1">
      <x:c r="A92" s="59" t="str">
        <x:v>M07-F011</x:v>
      </x:c>
      <x:c r="B92" s="59" t="str">
        <x:v>M07</x:v>
      </x:c>
      <x:c r="C92" s="59" t="str">
        <x:v>K-WP13</x:v>
      </x:c>
      <x:c r="D92" s="59" t="str">
        <x:v>Khải</x:v>
      </x:c>
      <x:c r="E92" s="59" t="str">
        <x:v>Duyệt báo cáo → tạo/cập nhật `risk_entities`</x:v>
      </x:c>
      <x:c r="F92" s="59" t="str">
        <x:v>T06-03</x:v>
      </x:c>
    </x:row>
    <x:row r="93" ht="34" customHeight="1">
      <x:c r="A93" s="59" t="str">
        <x:v>M07-F012</x:v>
      </x:c>
      <x:c r="B93" s="59" t="str">
        <x:v>M07</x:v>
      </x:c>
      <x:c r="C93" s="59" t="str">
        <x:v>K-WP13</x:v>
      </x:c>
      <x:c r="D93" s="59" t="str">
        <x:v>Khải</x:v>
      </x:c>
      <x:c r="E93" s="59" t="str">
        <x:v>Ghi audit log mọi thao tác duyệt</x:v>
      </x:c>
      <x:c r="F93" s="59" t="str">
        <x:v>T06-04</x:v>
      </x:c>
    </x:row>
    <x:row r="94" ht="34" customHeight="1">
      <x:c r="A94" s="59" t="str">
        <x:v>M07-F025</x:v>
      </x:c>
      <x:c r="B94" s="59" t="str">
        <x:v>M07</x:v>
      </x:c>
      <x:c r="C94" s="59" t="str">
        <x:v>K-WP15</x:v>
      </x:c>
      <x:c r="D94" s="59" t="str">
        <x:v>Khải</x:v>
      </x:c>
      <x:c r="E94" s="59" t="str">
        <x:v>Community Report lifecycle thống nhất `PENDING -&gt; UNDER_REVIEW -&gt; VERIFIED \| REJECTED`; review phải trace reviewer/time/reason.</x:v>
      </x:c>
      <x:c r="F94" s="59" t="str">
        <x:v>ARCH-12 (Architecture V3.2)</x:v>
      </x:c>
    </x:row>
    <x:row r="95" ht="34" customHeight="1">
      <x:c r="A95" s="59" t="str">
        <x:v>M07-F026</x:v>
      </x:c>
      <x:c r="B95" s="59" t="str">
        <x:v>M07</x:v>
      </x:c>
      <x:c r="C95" s="59" t="str">
        <x:v>K-WP15</x:v>
      </x:c>
      <x:c r="D95" s="59" t="str">
        <x:v>Khải</x:v>
      </x:c>
      <x:c r="E95" s="59" t="str">
        <x:v>Chỉ report `VERIFIED` đủ trust/policy mới được chuyển thành reputation/threat signal; unverified report không tạo hard blacklist.</x:v>
      </x:c>
      <x:c r="F95" s="59" t="str">
        <x:v>ARCH-13 (Architecture V3.2)</x:v>
      </x:c>
    </x:row>
    <x:row r="96" ht="34" customHeight="1">
      <x:c r="A96" s="59" t="str">
        <x:v>M08-F008</x:v>
      </x:c>
      <x:c r="B96" s="59" t="str">
        <x:v>M08</x:v>
      </x:c>
      <x:c r="C96" s="59" t="str">
        <x:v>I-WP02</x:v>
      </x:c>
      <x:c r="D96" s="59" t="str">
        <x:v>Kiên</x:v>
      </x:c>
      <x:c r="E96" s="59" t="str">
        <x:v>Danh sách trắng tên miền tin cậy để giảm báo động giả</x:v>
      </x:c>
      <x:c r="F96" s="59" t="str">
        <x:v>K08-01</x:v>
      </x:c>
    </x:row>
    <x:row r="97" ht="34" customHeight="1">
      <x:c r="A97" s="59" t="str">
        <x:v>M08-F009</x:v>
      </x:c>
      <x:c r="B97" s="59" t="str">
        <x:v>M08</x:v>
      </x:c>
      <x:c r="C97" s="59" t="str">
        <x:v>I-WP02</x:v>
      </x:c>
      <x:c r="D97" s="59" t="str">
        <x:v>Kiên</x:v>
      </x:c>
      <x:c r="E97" s="59" t="str">
        <x:v>Danh sách đen tên miền đã xác minh là lừa đảo</x:v>
      </x:c>
      <x:c r="F97" s="59" t="str">
        <x:v>K08-02</x:v>
      </x:c>
    </x:row>
    <x:row r="98" ht="34" customHeight="1">
      <x:c r="A98" s="59" t="str">
        <x:v>M08-F016</x:v>
      </x:c>
      <x:c r="B98" s="59" t="str">
        <x:v>M08</x:v>
      </x:c>
      <x:c r="C98" s="59" t="str">
        <x:v>I-WP03</x:v>
      </x:c>
      <x:c r="D98" s="59" t="str">
        <x:v>Kiên</x:v>
      </x:c>
      <x:c r="E98" s="59" t="str">
        <x:v>Bảng `risk_entities` cho tên miền, URL, số điện thoại, số tài khoản, từ khoá, thương hiệu</x:v>
      </x:c>
      <x:c r="F98" s="59" t="str">
        <x:v>T04-01</x:v>
      </x:c>
    </x:row>
    <x:row r="99" ht="34" customHeight="1">
      <x:c r="A99" s="59" t="str">
        <x:v>M08-F017</x:v>
      </x:c>
      <x:c r="B99" s="59" t="str">
        <x:v>M08</x:v>
      </x:c>
      <x:c r="C99" s="59" t="str">
        <x:v>I-WP03</x:v>
      </x:c>
      <x:c r="D99" s="59" t="str">
        <x:v>Kiên</x:v>
      </x:c>
      <x:c r="E99" s="59" t="str">
        <x:v>Trạng thái: `SUSPECTED`, `VERIFIED`, `CLEARED`</x:v>
      </x:c>
      <x:c r="F99" s="59" t="str">
        <x:v>T04-02</x:v>
      </x:c>
    </x:row>
    <x:row r="100" ht="34" customHeight="1">
      <x:c r="A100" s="59" t="str">
        <x:v>M08-F018</x:v>
      </x:c>
      <x:c r="B100" s="59" t="str">
        <x:v>M08</x:v>
      </x:c>
      <x:c r="C100" s="59" t="str">
        <x:v>I-WP03</x:v>
      </x:c>
      <x:c r="D100" s="59" t="str">
        <x:v>Kiên</x:v>
      </x:c>
      <x:c r="E100" s="59" t="str">
        <x:v>Tạo/cập nhật entity khi một báo cáo được duyệt</x:v>
      </x:c>
      <x:c r="F100" s="59" t="str">
        <x:v>T04-03</x:v>
      </x:c>
    </x:row>
    <x:row r="101" ht="34" customHeight="1">
      <x:c r="A101" s="59" t="str">
        <x:v>M08-F025</x:v>
      </x:c>
      <x:c r="B101" s="59" t="str">
        <x:v>M08</x:v>
      </x:c>
      <x:c r="C101" s="59" t="str">
        <x:v>I-WP04</x:v>
      </x:c>
      <x:c r="D101" s="59" t="str">
        <x:v>Kiên</x:v>
      </x:c>
      <x:c r="E101" s="59" t="str">
        <x:v>Core-only `ThreatQuery` dùng cache-aside: Redis HIT; MISS → PostgreSQL source of truth → cache `ReputationContext`; scanner worker không gọi `ThreatQuery`.</x:v>
      </x:c>
      <x:c r="F101" s="59" t="str">
        <x:v>ARCH-V3.2-05</x:v>
      </x:c>
    </x:row>
    <x:row r="102" ht="34" customHeight="1">
      <x:c r="A102" s="59" t="str">
        <x:v>M08-F026</x:v>
      </x:c>
      <x:c r="B102" s="59" t="str">
        <x:v>M08</x:v>
      </x:c>
      <x:c r="C102" s="59" t="str">
        <x:v>I-WP04</x:v>
      </x:c>
      <x:c r="D102" s="59" t="str">
        <x:v>Kiên</x:v>
      </x:c>
      <x:c r="E102" s="59" t="str">
        <x:v>Threat ingestion normalize/validate/deduplicate/version/upsert PostgreSQL rồi refresh/invalidate Redis; scanner worker không đọc DB/Redis/core API.</x:v>
      </x:c>
      <x:c r="F102" s="59" t="str">
        <x:v>ARCH-V3.2-06</x:v>
      </x:c>
    </x:row>
    <x:row r="103" ht="34" customHeight="1">
      <x:c r="A103" s="59" t="str">
        <x:v>M08-F027</x:v>
      </x:c>
      <x:c r="B103" s="59" t="str">
        <x:v>M08</x:v>
      </x:c>
      <x:c r="C103" s="59" t="str">
        <x:v>I-WP04</x:v>
      </x:c>
      <x:c r="D103" s="59" t="str">
        <x:v>Kiên</x:v>
      </x:c>
      <x:c r="E103" s="59" t="str">
        <x:v>Deferred enrichment chỉ diễn ra trong Spring Boot core khi consume `DerivedIndicator`; `ThreatQuery` bounded ~500 ms và trả `NO_DATA`/`REPUTATION_UNAVAILABLE`, không expose worker-facing lookup endpoint.</x:v>
      </x:c>
      <x:c r="F103" s="59" t="str">
        <x:v>ARCH-V3.2-07</x:v>
      </x:c>
    </x:row>
    <x:row r="104" ht="34" customHeight="1">
      <x:c r="A104" s="59" t="str">
        <x:v>M09-F001</x:v>
      </x:c>
      <x:c r="B104" s="59" t="str">
        <x:v>M09</x:v>
      </x:c>
      <x:c r="C104" s="59" t="str">
        <x:v>I-WP05</x:v>
      </x:c>
      <x:c r="D104" s="59" t="str">
        <x:v>Kiên</x:v>
      </x:c>
      <x:c r="E104" s="59" t="str">
        <x:v>Mô hình rule khai báo bằng FACT: `requiresAll` / `requiresAny` / `requiresNone`</x:v>
      </x:c>
      <x:c r="F104" s="59" t="str">
        <x:v>H10-01</x:v>
      </x:c>
    </x:row>
    <x:row r="105" ht="34" customHeight="1">
      <x:c r="A105" s="59" t="str">
        <x:v>M09-F002</x:v>
      </x:c>
      <x:c r="B105" s="59" t="str">
        <x:v>M09</x:v>
      </x:c>
      <x:c r="C105" s="59" t="str">
        <x:v>I-WP05</x:v>
      </x:c>
      <x:c r="D105" s="59" t="str">
        <x:v>Kiên</x:v>
      </x:c>
      <x:c r="E105" s="59" t="str">
        <x:v>Sinh `evidences[]` với `ruleCode`, `ruleName`, `score`, `severity`, `description`</x:v>
      </x:c>
      <x:c r="F105" s="59" t="str">
        <x:v>H10-02</x:v>
      </x:c>
    </x:row>
    <x:row r="106" ht="34" customHeight="1">
      <x:c r="A106" s="59" t="str">
        <x:v>M09-F003</x:v>
      </x:c>
      <x:c r="B106" s="59" t="str">
        <x:v>M09</x:v>
      </x:c>
      <x:c r="C106" s="59" t="str">
        <x:v>I-WP06</x:v>
      </x:c>
      <x:c r="D106" s="59" t="str">
        <x:v>Kiên</x:v>
      </x:c>
      <x:c r="E106" s="59" t="str">
        <x:v>Risk Fusion tạo `riskScore` trong `[0,100]` từ các nhóm Technical / Content / Reputation-Community / AI theo `FusionPolicy` versioned; mapping `0-34 SAFE`, `35-69 CAUTION`, `70-100 DANGER`.</x:v>
      </x:c>
      <x:c r="F106" s="59" t="str">
        <x:v>H10-03</x:v>
      </x:c>
    </x:row>
    <x:row r="107" ht="34" customHeight="1">
      <x:c r="A107" s="59" t="str">
        <x:v>M09-F004</x:v>
      </x:c>
      <x:c r="B107" s="59" t="str">
        <x:v>M09</x:v>
      </x:c>
      <x:c r="C107" s="59" t="str">
        <x:v>I-WP05</x:v>
      </x:c>
      <x:c r="D107" s="59" t="str">
        <x:v>Kiên</x:v>
      </x:c>
      <x:c r="E107" s="59" t="str">
        <x:v>Bất biến kiểm thử: cùng `UnifiedSignalSet` + cùng `FusionPolicy` phải cho kết quả deterministic; không giả định `riskScore = sum(evidences[].score)`.</x:v>
      </x:c>
      <x:c r="F107" s="59" t="str">
        <x:v>H10-04</x:v>
      </x:c>
    </x:row>
    <x:row r="108" ht="34" customHeight="1">
      <x:c r="A108" s="59" t="str">
        <x:v>M09-F005</x:v>
      </x:c>
      <x:c r="B108" s="59" t="str">
        <x:v>M09</x:v>
      </x:c>
      <x:c r="C108" s="59" t="str">
        <x:v>I-WP05</x:v>
      </x:c>
      <x:c r="D108" s="59" t="str">
        <x:v>Kiên</x:v>
      </x:c>
      <x:c r="E108" s="59" t="str">
        <x:v>Result Composer sinh `evidence[]`, `explanation[]` và `recommendations[]` từ signal/rule/fusion result; không để AI tự quyết định business verdict.</x:v>
      </x:c>
      <x:c r="F108" s="59" t="str">
        <x:v>H10-05</x:v>
      </x:c>
    </x:row>
    <x:row r="109" ht="34" customHeight="1">
      <x:c r="A109" s="59" t="str">
        <x:v>M09-F009</x:v>
      </x:c>
      <x:c r="B109" s="59" t="str">
        <x:v>M09</x:v>
      </x:c>
      <x:c r="C109" s="59" t="str">
        <x:v>I-WP07</x:v>
      </x:c>
      <x:c r="D109" s="59" t="str">
        <x:v>Kiên</x:v>
      </x:c>
      <x:c r="E109" s="59" t="str">
        <x:v>Bảng `rules` và `rule_versions` / versioned rule definition trong PostgreSQL</x:v>
      </x:c>
      <x:c r="F109" s="59" t="str">
        <x:v>R04-01</x:v>
      </x:c>
    </x:row>
    <x:row r="110" ht="34" customHeight="1">
      <x:c r="A110" s="59" t="str">
        <x:v>M09-F010</x:v>
      </x:c>
      <x:c r="B110" s="59" t="str">
        <x:v>M09</x:v>
      </x:c>
      <x:c r="C110" s="59" t="str">
        <x:v>I-WP07</x:v>
      </x:c>
      <x:c r="D110" s="59" t="str">
        <x:v>Kiên</x:v>
      </x:c>
      <x:c r="E110" s="59" t="str">
        <x:v>`Spring Boot Rule/Risk capability` nạp rule từ DB thay vì file, cache Redis</x:v>
      </x:c>
      <x:c r="F110" s="59" t="str">
        <x:v>R04-02</x:v>
      </x:c>
    </x:row>
    <x:row r="111" ht="34" customHeight="1">
      <x:c r="A111" s="59" t="str">
        <x:v>M09-F037</x:v>
      </x:c>
      <x:c r="B111" s="59" t="str">
        <x:v>M09</x:v>
      </x:c>
      <x:c r="C111" s="59" t="str">
        <x:v>I-WP05</x:v>
      </x:c>
      <x:c r="D111" s="59" t="str">
        <x:v>Kiên</x:v>
      </x:c>
      <x:c r="E111" s="59" t="str">
        <x:v>Tách rõ `Rule Engine -&gt; RuleMatch[]/evidence`, `Risk Fusion -&gt; score/level`, `Result Composer -&gt; explanation/recommendation`.</x:v>
      </x:c>
      <x:c r="F111" s="59" t="str">
        <x:v>ARCH-17 (Architecture V3.2)</x:v>
      </x:c>
    </x:row>
    <x:row r="112" ht="34" customHeight="1">
      <x:c r="A112" s="59" t="str">
        <x:v>M09-F038</x:v>
      </x:c>
      <x:c r="B112" s="59" t="str">
        <x:v>M09</x:v>
      </x:c>
      <x:c r="C112" s="59" t="str">
        <x:v>I-WP06</x:v>
      </x:c>
      <x:c r="D112" s="59" t="str">
        <x:v>Kiên</x:v>
      </x:c>
      <x:c r="E112" s="59" t="str">
        <x:v>`FusionPolicy` versioned/configurable theo scan profile; missing signal group phải renormalize trọng số thay vì xem như 0.</x:v>
      </x:c>
      <x:c r="F112" s="59" t="str">
        <x:v>ARCH-18 (Architecture V3.2)</x:v>
      </x:c>
    </x:row>
    <x:row r="113" ht="34" customHeight="1">
      <x:c r="A113" s="59" t="str">
        <x:v>M09-F039</x:v>
      </x:c>
      <x:c r="B113" s="59" t="str">
        <x:v>M09</x:v>
      </x:c>
      <x:c r="C113" s="59" t="str">
        <x:v>I-WP06</x:v>
      </x:c>
      <x:c r="D113" s="59" t="str">
        <x:v>Kiên</x:v>
      </x:c>
      <x:c r="E113" s="59" t="str">
        <x:v>Initial threshold dùng `0-34 SAFE`, `35-69 CAUTION`, `70-100 DANGER`; hard override phải có evidence và nằm trong policy version.</x:v>
      </x:c>
      <x:c r="F113" s="59" t="str">
        <x:v>ARCH-19 (Architecture V3.2)</x:v>
      </x:c>
    </x:row>
    <x:row r="114" ht="34" customHeight="1">
      <x:c r="A114" s="59" t="str">
        <x:v>M10-F010</x:v>
      </x:c>
      <x:c r="B114" s="59" t="str">
        <x:v>M10</x:v>
      </x:c>
      <x:c r="C114" s="59" t="str">
        <x:v>H-WP10</x:v>
      </x:c>
      <x:c r="D114" s="59" t="str">
        <x:v>Hùng</x:v>
      </x:c>
      <x:c r="E114" s="59" t="str">
        <x:v>Transactional auth notification types cho `AUTH_EMAIL_VERIFICATION`, `AUTH_PASSWORD_RESET`, `AUTH_PASSWORD_CHANGE_OTP`, `AUTH_PASSWORD_CHANGED`; M10 chỉ deliver, M01 mới verify/consume challenge.</x:v>
      </x:c>
      <x:c r="F114" s="59" t="str">
        <x:v>MODSPEC-V1.3-M10</x:v>
      </x:c>
    </x:row>
    <x:row r="115" ht="34" customHeight="1">
      <x:c r="A115" s="59" t="str">
        <x:v>M10-F011</x:v>
      </x:c>
      <x:c r="B115" s="59" t="str">
        <x:v>M10</x:v>
      </x:c>
      <x:c r="C115" s="59" t="str">
        <x:v>H-WP10</x:v>
      </x:c>
      <x:c r="D115" s="59" t="str">
        <x:v>Hùng</x:v>
      </x:c>
      <x:c r="E115" s="59" t="str">
        <x:v>Canonical `NotificationRequest` có `eventId`, `correlationId`, `notificationType`, recipient, `channelHints[]`, `templateKey`, `templateData`, resource/deep-link, priority, idempotencyKey, expiresAt.</x:v>
      </x:c>
      <x:c r="F115" s="59" t="str">
        <x:v>MODSPEC-V1.3-M10</x:v>
      </x:c>
    </x:row>
    <x:row r="116" ht="34" customHeight="1">
      <x:c r="A116" s="59" t="str">
        <x:v>M10-F012</x:v>
      </x:c>
      <x:c r="B116" s="59" t="str">
        <x:v>M10</x:v>
      </x:c>
      <x:c r="C116" s="59" t="str">
        <x:v>H-WP10</x:v>
      </x:c>
      <x:c r="D116" s="59" t="str">
        <x:v>Hùng</x:v>
      </x:c>
      <x:c r="E116" s="59" t="str">
        <x:v>Tách `channelKey` khỏi `providerKey`; dùng Channel Resolver + Provider Adapter Registry để thay/add provider mà producer contract không đổi.</x:v>
      </x:c>
      <x:c r="F116" s="59" t="str">
        <x:v>ARCH-V3.3-M10</x:v>
      </x:c>
    </x:row>
    <x:row r="117" ht="34" customHeight="1">
      <x:c r="A117" s="59" t="str">
        <x:v>M10-F016</x:v>
      </x:c>
      <x:c r="B117" s="59" t="str">
        <x:v>M10</x:v>
      </x:c>
      <x:c r="C117" s="59" t="str">
        <x:v>H-WP11</x:v>
      </x:c>
      <x:c r="D117" s="59" t="str">
        <x:v>Hùng</x:v>
      </x:c>
      <x:c r="E117" s="59" t="str">
        <x:v>Raw OTP/credential chỉ được truyền transient/encrypted khi cần; không persist/log trong `notification_jobs`, `notification_deliveries`, audit hoặc DLQ lâu dài; message hết `expiresAt` không được gửi.</x:v>
      </x:c>
      <x:c r="F117" s="59" t="str">
        <x:v>ARCH-V3.3 + MODSPEC-V1.3</x:v>
      </x:c>
    </x:row>
    <x:row r="118" ht="34" customHeight="1">
      <x:c r="A118" s="59" t="str">
        <x:v>M11-F001</x:v>
      </x:c>
      <x:c r="B118" s="59" t="str">
        <x:v>M11</x:v>
      </x:c>
      <x:c r="C118" s="59" t="str">
        <x:v>T-WP15</x:v>
      </x:c>
      <x:c r="D118" s="59" t="str">
        <x:v>Thắng</x:v>
      </x:c>
      <x:c r="E118" s="59" t="str">
        <x:v>Triển khai **Python AI/ML Worker** consume `q.ai.analyze`; FastAPI nếu giữ chỉ dùng `/health`, `/ready`, diagnostics nội bộ, không phải đường inference của scan.</x:v>
      </x:c>
      <x:c r="F118" s="59" t="str">
        <x:v>ARCH/V3.2 + H11-01</x:v>
      </x:c>
    </x:row>
    <x:row r="119" ht="34" customHeight="1">
      <x:c r="A119" s="59" t="str">
        <x:v>M11-F003</x:v>
      </x:c>
      <x:c r="B119" s="59" t="str">
        <x:v>M11</x:v>
      </x:c>
      <x:c r="C119" s="59" t="str">
        <x:v>T-WP15</x:v>
      </x:c>
      <x:c r="D119" s="59" t="str">
        <x:v>Thắng</x:v>
      </x:c>
      <x:c r="E119" s="59" t="str">
        <x:v>AI Worker publish `ai.analysis.completed|failed` vào `q.scan.result`; prediction normalized gồm `label`, `probability`, `providerKey`, `modelId`, `modelVersion`, `latencyMs`, không chứa `riskScore`/`riskLevel`.</x:v>
      </x:c>
      <x:c r="F119" s="59" t="str">
        <x:v>ARCH-V3.3 + H11-03</x:v>
      </x:c>
    </x:row>
    <x:row r="120" ht="34" customHeight="1">
      <x:c r="A120" s="59" t="str">
        <x:v>M11-F004</x:v>
      </x:c>
      <x:c r="B120" s="59" t="str">
        <x:v>M11</x:v>
      </x:c>
      <x:c r="C120" s="59" t="str">
        <x:v>T-WP15</x:v>
      </x:c>
      <x:c r="D120" s="59" t="str">
        <x:v>Thắng</x:v>
      </x:c>
      <x:c r="E120" s="59" t="str">
        <x:v>AI task/result contract versioned có `eventId`, `correlationId`, `scanId`, `taskId`, `kind`, `deadlineAt`; consumer idempotent theo `eventId` + `taskId`.</x:v>
      </x:c>
      <x:c r="F120" s="59" t="str">
        <x:v>ARCH/V3.2 + H11-04</x:v>
      </x:c>
    </x:row>
    <x:row r="121" ht="34" customHeight="1">
      <x:c r="A121" s="59" t="str">
        <x:v>M11-F010</x:v>
      </x:c>
      <x:c r="B121" s="59" t="str">
        <x:v>M11</x:v>
      </x:c>
      <x:c r="C121" s="59" t="str">
        <x:v>T-WP18</x:v>
      </x:c>
      <x:c r="D121" s="59" t="str">
        <x:v>Thắng</x:v>
      </x:c>
      <x:c r="E121" s="59" t="str">
        <x:v>Bộ test tự động cho từng rule, chạy trong CI</x:v>
      </x:c>
      <x:c r="F121" s="59" t="str">
        <x:v>H12-01</x:v>
      </x:c>
    </x:row>
    <x:row r="122" ht="34" customHeight="1">
      <x:c r="A122" s="59" t="str">
        <x:v>M11-F017</x:v>
      </x:c>
      <x:c r="B122" s="59" t="str">
        <x:v>M11</x:v>
      </x:c>
      <x:c r="C122" s="59" t="str">
        <x:v>T-WP15</x:v>
      </x:c>
      <x:c r="D122" s="59" t="str">
        <x:v>Thắng</x:v>
      </x:c>
      <x:c r="E122" s="59" t="str">
        <x:v>AI Worker có `handleAiTask`: validate → dedupe task → route model (`URL_FEATURES\|TEXT_CONTENT\|WEB_CONTENT`) → preprocess → inference → publish success/failure.</x:v>
      </x:c>
      <x:c r="F122" s="59" t="str">
        <x:v>ARCH/V3.2 + ARCH-22 (Architecture V3.2)</x:v>
      </x:c>
    </x:row>
    <x:row r="123" ht="34" customHeight="1">
      <x:c r="A123" s="59" t="str">
        <x:v>M11-F018</x:v>
      </x:c>
      <x:c r="B123" s="59" t="str">
        <x:v>M11</x:v>
      </x:c>
      <x:c r="C123" s="59" t="str">
        <x:v>T-WP15</x:v>
      </x:c>
      <x:c r="D123" s="59" t="str">
        <x:v>Thắng</x:v>
      </x:c>
      <x:c r="E123" s="59" t="str">
        <x:v>Operational default: `aiTaskDeadline=20s` ở M12, model/LLM timeout=10s trong AI Worker, `prefetch_count=4`; task phải publish FAILED khi timeout/model unavailable; retry exhausted → `q.ai.analyze.dlq`.</x:v>
      </x:c>
      <x:c r="F123" s="59" t="str">
        <x:v>ARCH-V3.3 + ARCH-AI-OPS</x:v>
      </x:c>
    </x:row>
    <x:row r="124" ht="34" customHeight="1">
      <x:c r="A124" s="59" t="str">
        <x:v>M11-F019</x:v>
      </x:c>
      <x:c r="B124" s="59" t="str">
        <x:v>M11</x:v>
      </x:c>
      <x:c r="C124" s="59" t="str">
        <x:v>T-WP16</x:v>
      </x:c>
      <x:c r="D124" s="59" t="str">
        <x:v>Thắng</x:v>
      </x:c>
      <x:c r="E124" s="59" t="str">
        <x:v>Inference Provider Resolver/registry map `kind + inferenceProfile` sang `providerKey + model config`; `providerKey` là extensible string, không phải closed enum.</x:v>
      </x:c>
      <x:c r="F124" s="59" t="str">
        <x:v>ARCH-V3.3-M11</x:v>
      </x:c>
    </x:row>
    <x:row r="125" ht="34" customHeight="1">
      <x:c r="A125" s="59" t="str">
        <x:v>M12-F001</x:v>
      </x:c>
      <x:c r="B125" s="59" t="str">
        <x:v>M12</x:v>
      </x:c>
      <x:c r="C125" s="59" t="str">
        <x:v>I-WP11</x:v>
      </x:c>
      <x:c r="D125" s="59" t="str">
        <x:v>Kiên</x:v>
      </x:c>
      <x:c r="E125" s="59" t="str">
        <x:v>`Idempotency-Key` cho scan mutation qua M12/Redis; TTL là cấu hình của platform, không hard-code 24 giờ và phải gắn với request hash.</x:v>
      </x:c>
      <x:c r="F125" s="59" t="str">
        <x:v>H07-04</x:v>
      </x:c>
    </x:row>
    <x:row r="126" ht="34" customHeight="1">
      <x:c r="A126" s="59" t="str">
        <x:v>M12-F002</x:v>
      </x:c>
      <x:c r="B126" s="59" t="str">
        <x:v>M12</x:v>
      </x:c>
      <x:c r="C126" s="59" t="str">
        <x:v>I-WP11</x:v>
      </x:c>
      <x:c r="D126" s="59" t="str">
        <x:v>Kiên</x:v>
      </x:c>
      <x:c r="E126" s="59" t="str">
        <x:v>Trùng key nhưng khác request hash → trả `409 IDEMPOTENCY_KEY_CONFLICT`</x:v>
      </x:c>
      <x:c r="F126" s="59" t="str">
        <x:v>H07-05</x:v>
      </x:c>
    </x:row>
    <x:row r="127" ht="34" customHeight="1">
      <x:c r="A127" s="59" t="str">
        <x:v>M12-F004</x:v>
      </x:c>
      <x:c r="B127" s="59" t="str">
        <x:v>M12</x:v>
      </x:c>
      <x:c r="C127" s="59" t="str">
        <x:v>I-WP11</x:v>
      </x:c>
      <x:c r="D127" s="59" t="str">
        <x:v>Kiên</x:v>
      </x:c>
      <x:c r="E127" s="59" t="str">
        <x:v>`ScanTypeResolver` + `ProcessorRegistry/JobRouter` map `URL`, `TEXT`, `ENTITY`, `QR` sang routing key/worker phù hợp.</x:v>
      </x:c>
      <x:c r="F127" s="59" t="str">
        <x:v>ARCH-24 (Architecture V3.2)</x:v>
      </x:c>
    </x:row>
    <x:row r="128" ht="34" customHeight="1">
      <x:c r="A128" s="59" t="str">
        <x:v>M12-F005</x:v>
      </x:c>
      <x:c r="B128" s="59" t="str">
        <x:v>M12</x:v>
      </x:c>
      <x:c r="C128" s="59" t="str">
        <x:v>I-WP12</x:v>
      </x:c>
      <x:c r="D128" s="59" t="str">
        <x:v>Kiên</x:v>
      </x:c>
      <x:c r="E128" s="59" t="str">
        <x:v>Scan lifecycle thống nhất `PENDING -&gt; PROCESSING -&gt; COMPLETED \| FAILED`; không để scan treo `PROCESSING` vô hạn.</x:v>
      </x:c>
      <x:c r="F128" s="59" t="str">
        <x:v>ARCH-25 (Architecture V3.2)</x:v>
      </x:c>
    </x:row>
    <x:row r="129" ht="34" customHeight="1">
      <x:c r="A129" s="59" t="str">
        <x:v>M12-F006</x:v>
      </x:c>
      <x:c r="B129" s="59" t="str">
        <x:v>M12</x:v>
      </x:c>
      <x:c r="C129" s="59" t="str">
        <x:v>I-WP12</x:v>
      </x:c>
      <x:c r="D129" s="59" t="str">
        <x:v>Kiên</x:v>
      </x:c>
      <x:c r="E129" s="59" t="str">
        <x:v>Worker Result Consumer nhận kết quả qua `q.scan.result`, validate schema, deduplicate event và chuyển signal vào Signal Aggregator.</x:v>
      </x:c>
      <x:c r="F129" s="59" t="str">
        <x:v>ARCH-26 (Architecture V3.2)</x:v>
      </x:c>
    </x:row>
    <x:row r="130" ht="34" customHeight="1">
      <x:c r="A130" s="59" t="str">
        <x:v>M12-F007</x:v>
      </x:c>
      <x:c r="B130" s="59" t="str">
        <x:v>M12</x:v>
      </x:c>
      <x:c r="C130" s="59" t="str">
        <x:v>I-WP12</x:v>
      </x:c>
      <x:c r="D130" s="59" t="str">
        <x:v>Kiên</x:v>
      </x:c>
      <x:c r="E130" s="59" t="str">
        <x:v>Async event envelope có `eventId`, `jobId`, `correlationId`, `eventVersion`, `attempt`, `scanId`, processor/model version để trace pipeline.</x:v>
      </x:c>
      <x:c r="F130" s="59" t="str">
        <x:v>ARCH-27 (Architecture V3.2)</x:v>
      </x:c>
    </x:row>
    <x:row r="131" ht="34" customHeight="1">
      <x:c r="A131" s="59" t="str">
        <x:v>M12-F008</x:v>
      </x:c>
      <x:c r="B131" s="59" t="str">
        <x:v>M12</x:v>
      </x:c>
      <x:c r="C131" s="59" t="str">
        <x:v>I-WP12</x:v>
      </x:c>
      <x:c r="D131" s="59" t="str">
        <x:v>Kiên</x:v>
      </x:c>
      <x:c r="E131" s="59" t="str">
        <x:v>RabbitMQ at-least-once -&gt; consumer phải idempotent theo `eventId`, duplicate ACK/ignore và không double-count signal.</x:v>
      </x:c>
      <x:c r="F131" s="59" t="str">
        <x:v>ARCH-28 (Architecture V3.2)</x:v>
      </x:c>
    </x:row>
    <x:row r="132" ht="34" customHeight="1">
      <x:c r="A132" s="59" t="str">
        <x:v>M12-F009</x:v>
      </x:c>
      <x:c r="B132" s="59" t="str">
        <x:v>M12</x:v>
      </x:c>
      <x:c r="C132" s="59" t="str">
        <x:v>I-WP13</x:v>
      </x:c>
      <x:c r="D132" s="59" t="str">
        <x:v>Kiên</x:v>
      </x:c>
      <x:c r="E132" s="59" t="str">
        <x:v>Nested scan dùng PostgreSQL `scan_relations` làm source of truth và Redis làm temporary barrier/counter.</x:v>
      </x:c>
      <x:c r="F132" s="59" t="str">
        <x:v>ARCH-29 (Architecture V3.2)</x:v>
      </x:c>
    </x:row>
    <x:row r="133" ht="34" customHeight="1">
      <x:c r="A133" s="59" t="str">
        <x:v>M12-F010</x:v>
      </x:c>
      <x:c r="B133" s="59" t="str">
        <x:v>M12</x:v>
      </x:c>
      <x:c r="C133" s="59" t="str">
        <x:v>I-WP13</x:v>
      </x:c>
      <x:c r="D133" s="59" t="str">
        <x:v>Kiên</x:v>
      </x:c>
      <x:c r="E133" s="59" t="str">
        <x:v>Nested scan: parent deadline 30 giây, `maxDepth=2`, cycle detection bằng normalized indicator hash/visited set.</x:v>
      </x:c>
      <x:c r="F133" s="59" t="str">
        <x:v>ARCH-30 (Architecture V3.2)</x:v>
      </x:c>
    </x:row>
    <x:row r="134" ht="34" customHeight="1">
      <x:c r="A134" s="59" t="str">
        <x:v>M12-F011</x:v>
      </x:c>
      <x:c r="B134" s="59" t="str">
        <x:v>M12</x:v>
      </x:c>
      <x:c r="C134" s="59" t="str">
        <x:v>I-WP13</x:v>
      </x:c>
      <x:c r="D134" s="59" t="str">
        <x:v>Kiên</x:v>
      </x:c>
      <x:c r="E134" s="59" t="str">
        <x:v>Child fail/timeout không nhất thiết fail parent; finalize bằng signal hiện có và `degraded=true` khi đủ dữ liệu.</x:v>
      </x:c>
      <x:c r="F134" s="59" t="str">
        <x:v>ARCH-31 (Architecture V3.2)</x:v>
      </x:c>
    </x:row>
    <x:row r="135" ht="34" customHeight="1">
      <x:c r="A135" s="59" t="str">
        <x:v>M12-F012</x:v>
      </x:c>
      <x:c r="B135" s="59" t="str">
        <x:v>M12</x:v>
      </x:c>
      <x:c r="C135" s="59" t="str">
        <x:v>I-WP12</x:v>
      </x:c>
      <x:c r="D135" s="59" t="str">
        <x:v>Kiên</x:v>
      </x:c>
      <x:c r="E135" s="59" t="str">
        <x:v>Worker delivery policy: attempt đầu + tối đa 2 retry; exhausted -&gt; DLQ tương ứng, không auto-retry vô hạn.</x:v>
      </x:c>
      <x:c r="F135" s="59" t="str">
        <x:v>ARCH-32 (Architecture V3.2)</x:v>
      </x:c>
    </x:row>
    <x:row r="136" ht="34" customHeight="1">
      <x:c r="A136" s="59" t="str">
        <x:v>M12-F013</x:v>
      </x:c>
      <x:c r="B136" s="59" t="str">
        <x:v>M12</x:v>
      </x:c>
      <x:c r="C136" s="59" t="str">
        <x:v>I-WP14</x:v>
      </x:c>
      <x:c r="D136" s="59" t="str">
        <x:v>Kiên</x:v>
      </x:c>
      <x:c r="E136" s="59" t="str">
        <x:v>RabbitMQ topology có `q.ai.analyze` + `q.ai.analyze.dlq`; routing `ai.analysis.requested`, `ai.analysis.completed`, `ai.analysis.failed`; AI result đi vào `q.scan.result`.</x:v>
      </x:c>
      <x:c r="F136" s="59" t="str">
        <x:v>ARCH-V3.2-M12-01</x:v>
      </x:c>
    </x:row>
    <x:row r="137" ht="34" customHeight="1">
      <x:c r="A137" s="59" t="str">
        <x:v>M12-F014</x:v>
      </x:c>
      <x:c r="B137" s="59" t="str">
        <x:v>M12</x:v>
      </x:c>
      <x:c r="C137" s="59" t="str">
        <x:v>I-WP14</x:v>
      </x:c>
      <x:c r="D137" s="59" t="str">
        <x:v>Kiên</x:v>
      </x:c>
      <x:c r="E137" s="59" t="str">
        <x:v>PostgreSQL `scan_ai_tasks` là source of truth cho AI task chờ; Redis chỉ giữ `expectedAiTasks/completedAiTasks` và barrier tạm thời.</x:v>
      </x:c>
      <x:c r="F137" s="59" t="str">
        <x:v>ARCH-V3.2-M12-02</x:v>
      </x:c>
    </x:row>
    <x:row r="138" ht="34" customHeight="1">
      <x:c r="A138" s="59" t="str">
        <x:v>M12-F015</x:v>
      </x:c>
      <x:c r="B138" s="59" t="str">
        <x:v>M12</x:v>
      </x:c>
      <x:c r="C138" s="59" t="str">
        <x:v>I-WP14</x:v>
      </x:c>
      <x:c r="D138" s="59" t="str">
        <x:v>Kiên</x:v>
      </x:c>
      <x:c r="E138" s="59" t="str">
        <x:v>Completion barrier đếm **child scans + AI tasks**; `aiTaskDeadline=20s`, parent deadline=30s. Hết AI deadline → bỏ task treo, `degraded=true`, renormalize.</x:v>
      </x:c>
      <x:c r="F138" s="59" t="str">
        <x:v>ARCH-V3.2-M12-03</x:v>
      </x:c>
    </x:row>
    <x:row r="139" ht="34" customHeight="1">
      <x:c r="A139" s="59" t="str">
        <x:v>M12-F016</x:v>
      </x:c>
      <x:c r="B139" s="59" t="str">
        <x:v>M12</x:v>
      </x:c>
      <x:c r="C139" s="59" t="str">
        <x:v>I-WP14</x:v>
      </x:c>
      <x:c r="D139" s="59" t="str">
        <x:v>Kiên</x:v>
      </x:c>
      <x:c r="E139" s="59" t="str">
        <x:v>Xử lý race: AI result về trước worker result thì park theo `scanId` rồi match khi `pendingAiTasks[]` xuất hiện; AI result về sau COMPLETED chỉ ghi late signal/audit, không mutate `RiskResult`.</x:v>
      </x:c>
      <x:c r="F139" s="59" t="str">
        <x:v>ARCH-V3.2-M12-04</x:v>
      </x:c>
    </x:row>
    <x:row r="140" ht="34" customHeight="1">
      <x:c r="A140" s="59" t="str">
        <x:v>M12-F017</x:v>
      </x:c>
      <x:c r="B140" s="59" t="str">
        <x:v>M12</x:v>
      </x:c>
      <x:c r="C140" s="59" t="str">
        <x:v>I-WP13</x:v>
      </x:c>
      <x:c r="D140" s="59" t="str">
        <x:v>Kiên</x:v>
      </x:c>
      <x:c r="E140" s="59" t="str">
        <x:v>Scanner/AI worker chỉ giao tiếp qua RabbitMQ, không route tới PostgreSQL/Redis/Spring Boot API; M12 xử lý `DerivedIndicator.handling` và deferred reputation/child-scan policy.</x:v>
      </x:c>
      <x:c r="F140" s="59" t="str">
        <x:v>ARCH-V3.2-M12-05</x:v>
      </x:c>
    </x:row>
    <x:row r="141" ht="34" customHeight="1">
      <x:c r="A141" s="59" t="str">
        <x:v>M12-F018</x:v>
      </x:c>
      <x:c r="B141" s="59" t="str">
        <x:v>M12</x:v>
      </x:c>
      <x:c r="C141" s="59" t="str">
        <x:v>I-WP11</x:v>
      </x:c>
      <x:c r="D141" s="59" t="str">
        <x:v>Kiên</x:v>
      </x:c>
      <x:c r="E141" s="59" t="str">
        <x:v>M12 nhận `AccessContext`/`EntitlementContext` và enforce Guest/Free ownership + quota trước khi dispatch; GUEST được scan public inputs, FREE có persistent history, cả hai dùng logical `inferenceProfile=standard` trong MVP.</x:v>
      </x:c>
      <x:c r="F141" s="59" t="str">
        <x:v>MODSPEC-V1.3-M12</x:v>
      </x:c>
    </x:row>
    <x:row r="142" ht="34" customHeight="1">
      <x:c r="A142" s="59" t="str">
        <x:v>M12-F019</x:v>
      </x:c>
      <x:c r="B142" s="59" t="str">
        <x:v>M12</x:v>
      </x:c>
      <x:c r="C142" s="59" t="str">
        <x:v>I-WP11</x:v>
      </x:c>
      <x:c r="D142" s="59" t="str">
        <x:v>Kiên</x:v>
      </x:c>
      <x:c r="E142" s="59" t="str">
        <x:v>`scanId` không phải authorization token: đọc result/history phải kiểm tra guest-session ownership hoặc user ownership; Guest không có persistent account history.</x:v>
      </x:c>
      <x:c r="F142" s="59" t="str">
        <x:v>MODSPEC-V1.3-M12</x:v>
      </x:c>
    </x:row>
    <x:row r="143" ht="34" customHeight="1">
      <x:c r="A143" s="59" t="str">
        <x:v>M13-F001</x:v>
      </x:c>
      <x:c r="B143" s="59" t="str">
        <x:v>M13</x:v>
      </x:c>
      <x:c r="C143" s="59" t="str">
        <x:v>H-WP12</x:v>
      </x:c>
      <x:c r="D143" s="59" t="str">
        <x:v>Hùng</x:v>
      </x:c>
      <x:c r="E143" s="59" t="str">
        <x:v>Không lưu mật khẩu, OTP, số thẻ, CVV của người dùng dưới bất kỳ dạng nào</x:v>
      </x:c>
      <x:c r="F143" s="59" t="str">
        <x:v>H08-01</x:v>
      </x:c>
    </x:row>
    <x:row r="144" ht="34" customHeight="1">
      <x:c r="A144" s="59" t="str">
        <x:v>M13-F002</x:v>
      </x:c>
      <x:c r="B144" s="59" t="str">
        <x:v>M13</x:v>
      </x:c>
      <x:c r="C144" s="59" t="str">
        <x:v>H-WP12</x:v>
      </x:c>
      <x:c r="D144" s="59" t="str">
        <x:v>Hùng</x:v>
      </x:c>
      <x:c r="E144" s="59" t="str">
        <x:v>Che dữ liệu nhạy cảm trong log (số tài khoản → `****1234`, SĐT → `+849****678`)</x:v>
      </x:c>
      <x:c r="F144" s="59" t="str">
        <x:v>H08-02</x:v>
      </x:c>
    </x:row>
    <x:row r="145" ht="34" customHeight="1">
      <x:c r="A145" s="59" t="str">
        <x:v>M13-F003</x:v>
      </x:c>
      <x:c r="B145" s="59" t="str">
        <x:v>M13</x:v>
      </x:c>
      <x:c r="C145" s="59" t="str">
        <x:v>H-WP13</x:v>
      </x:c>
      <x:c r="D145" s="59" t="str">
        <x:v>Hùng</x:v>
      </x:c>
      <x:c r="E145" s="59" t="str">
        <x:v>Docker Compose local/dev gồm PostgreSQL, Redis, RabbitMQ, MinIO, Spring Boot, scanner workers, Python AI/ML Worker, Notification Delivery Worker, Report Export Worker, Threat Ingestion Worker, Web/Admin/Mobile dev dependencies và Nginx theo Architecture V3.3.</x:v>
      </x:c>
      <x:c r="F145" s="59" t="str">
        <x:v>K11-01 + V3.3</x:v>
      </x:c>
    </x:row>
    <x:row r="146" ht="34" customHeight="1">
      <x:c r="A146" s="59" t="str">
        <x:v>M13-F004</x:v>
      </x:c>
      <x:c r="B146" s="59" t="str">
        <x:v>M13</x:v>
      </x:c>
      <x:c r="C146" s="59" t="str">
        <x:v>H-WP13</x:v>
      </x:c>
      <x:c r="D146" s="59" t="str">
        <x:v>Hùng</x:v>
      </x:c>
      <x:c r="E146" s="59" t="str">
        <x:v>Dockerfile cho từng service, dùng multi-stage build</x:v>
      </x:c>
      <x:c r="F146" s="59" t="str">
        <x:v>K11-02</x:v>
      </x:c>
    </x:row>
    <x:row r="147" ht="34" customHeight="1">
      <x:c r="A147" s="59" t="str">
        <x:v>M13-F005</x:v>
      </x:c>
      <x:c r="B147" s="59" t="str">
        <x:v>M13</x:v>
      </x:c>
      <x:c r="C147" s="59" t="str">
        <x:v>H-WP12</x:v>
      </x:c>
      <x:c r="D147" s="59" t="str">
        <x:v>Hùng</x:v>
      </x:c>
      <x:c r="E147" s="59" t="str">
        <x:v>Cấu hình qua environment/secret management; không hardcode/commit JWT signing key, OAuth client secret, AI provider credential hay notification provider credential.</x:v>
      </x:c>
      <x:c r="F147" s="59" t="str">
        <x:v>K11-03 + V3.3</x:v>
      </x:c>
    </x:row>
    <x:row r="148" ht="34" customHeight="1">
      <x:c r="A148" s="59" t="str">
        <x:v>M13-F006</x:v>
      </x:c>
      <x:c r="B148" s="59" t="str">
        <x:v>M13</x:v>
      </x:c>
      <x:c r="C148" s="59" t="str">
        <x:v>H-WP13</x:v>
      </x:c>
      <x:c r="D148" s="59" t="str">
        <x:v>Hùng</x:v>
      </x:c>
      <x:c r="E148" s="59" t="str">
        <x:v>Health/readiness cho Spring Boot, scanner workers, AI Worker, Notification Worker, Report Export/Threat Ingestion và dependency chính; FastAPI nếu dùng cho AI chỉ giữ health/readiness/diagnostics.</x:v>
      </x:c>
      <x:c r="F148" s="59" t="str">
        <x:v>K11-04 + V3.3</x:v>
      </x:c>
    </x:row>
    <x:row r="149" ht="34" customHeight="1">
      <x:c r="A149" s="59" t="str">
        <x:v>M13-F012</x:v>
      </x:c>
      <x:c r="B149" s="59" t="str">
        <x:v>M13</x:v>
      </x:c>
      <x:c r="C149" s="59" t="str">
        <x:v>H-WP14</x:v>
      </x:c>
      <x:c r="D149" s="59" t="str">
        <x:v>Hùng</x:v>
      </x:c>
      <x:c r="E149" s="59" t="str">
        <x:v>GitHub Actions chạy test của cả 3 service trên mỗi pull request</x:v>
      </x:c>
      <x:c r="F149" s="59" t="str">
        <x:v>K12-01</x:v>
      </x:c>
    </x:row>
    <x:row r="150" ht="34" customHeight="1">
      <x:c r="A150" s="59" t="str">
        <x:v>M13-F013</x:v>
      </x:c>
      <x:c r="B150" s="59" t="str">
        <x:v>M13</x:v>
      </x:c>
      <x:c r="C150" s="59" t="str">
        <x:v>H-WP14</x:v>
      </x:c>
      <x:c r="D150" s="59" t="str">
        <x:v>Hùng</x:v>
      </x:c>
      <x:c r="E150" s="59" t="str">
        <x:v>Chặn merge khi test đỏ</x:v>
      </x:c>
      <x:c r="F150" s="59" t="str">
        <x:v>K12-02</x:v>
      </x:c>
    </x:row>
    <x:row r="151" ht="34" customHeight="1">
      <x:c r="A151" s="59" t="str">
        <x:v>M13-F028</x:v>
      </x:c>
      <x:c r="B151" s="59" t="str">
        <x:v>M13</x:v>
      </x:c>
      <x:c r="C151" s="59" t="str">
        <x:v>H-WP16</x:v>
      </x:c>
      <x:c r="D151" s="59" t="str">
        <x:v>Hùng</x:v>
      </x:c>
      <x:c r="E151" s="59" t="str">
        <x:v>Share Target nhận link và văn bản từ Zalo/Messenger/SMS, tự định tuyến theo nội dung</x:v>
      </x:c>
      <x:c r="F151" s="59" t="str">
        <x:v>T11-04</x:v>
      </x:c>
    </x:row>
    <x:row r="152" ht="34" customHeight="1">
      <x:c r="A152" s="59" t="str">
        <x:v>M13-F030</x:v>
      </x:c>
      <x:c r="B152" s="59" t="str">
        <x:v>M13</x:v>
      </x:c>
      <x:c r="C152" s="59" t="str">
        <x:v>H-WP17</x:v>
      </x:c>
      <x:c r="D152" s="59" t="str">
        <x:v>Hùng</x:v>
      </x:c>
      <x:c r="E152" s="59" t="str">
        <x:v>RabbitMQ topology chuẩn: `antiscan.topic`, `antiscan.dlx`, queues `q.scan.url|text|entity|qr`, `q.ai.analyze`, `q.scan.result`, `q.report.export`, `q.notification`, `q.threat.ingest` + DLQ tương ứng.</x:v>
      </x:c>
      <x:c r="F152" s="59" t="str">
        <x:v>ARCH-V3.3-MQ</x:v>
      </x:c>
    </x:row>
    <x:row r="153" ht="34" customHeight="1">
      <x:c r="A153" s="59" t="str">
        <x:v>M13-F031</x:v>
      </x:c>
      <x:c r="B153" s="59" t="str">
        <x:v>M13</x:v>
      </x:c>
      <x:c r="C153" s="59" t="str">
        <x:v>H-WP17</x:v>
      </x:c>
      <x:c r="D153" s="59" t="str">
        <x:v>Hùng</x:v>
      </x:c>
      <x:c r="E153" s="59" t="str">
        <x:v>PostgreSQL là source of truth; Redis chỉ cache/session-revocation/rate-limit/idempotency/lock/temporary coordination và không giữ canonical business data duy nhất.</x:v>
      </x:c>
      <x:c r="F153" s="59" t="str">
        <x:v>ARCH-V3.3-DATA</x:v>
      </x:c>
    </x:row>
    <x:row r="154" ht="34" customHeight="1">
      <x:c r="A154" s="59" t="str">
        <x:v>M13-F032</x:v>
      </x:c>
      <x:c r="B154" s="59" t="str">
        <x:v>M13</x:v>
      </x:c>
      <x:c r="C154" s="59" t="str">
        <x:v>H-WP17</x:v>
      </x:c>
      <x:c r="D154" s="59" t="str">
        <x:v>Hùng</x:v>
      </x:c>
      <x:c r="E154" s="59" t="str">
        <x:v>Nginx chịu TLS/reverse proxy/coarse IP-flood limit; Spring Boot + Redis chịu business quota theo user/account/API identity.</x:v>
      </x:c>
      <x:c r="F154" s="59" t="str">
        <x:v>ARCH-35 (Architecture V3.2)</x:v>
      </x:c>
    </x:row>
    <x:row r="155" ht="34" customHeight="1">
      <x:c r="A155" s="59" t="str">
        <x:v>M13-F033</x:v>
      </x:c>
      <x:c r="B155" s="59" t="str">
        <x:v>M13</x:v>
      </x:c>
      <x:c r="C155" s="59" t="str">
        <x:v>H-WP17</x:v>
      </x:c>
      <x:c r="D155" s="59" t="str">
        <x:v>Hùng</x:v>
      </x:c>
      <x:c r="E155" s="59" t="str">
        <x:v>MinIO/S3 lưu evidence/export/binary; PostgreSQL chỉ lưu metadata/object key/hash/MIME/size/owner relation.</x:v>
      </x:c>
      <x:c r="F155" s="59" t="str">
        <x:v>ARCH-36 (Architecture V3.2)</x:v>
      </x:c>
    </x:row>
    <x:row r="156" ht="34" customHeight="1">
      <x:c r="A156" s="59" t="str">
        <x:v>M13-F034</x:v>
      </x:c>
      <x:c r="B156" s="59" t="str">
        <x:v>M13</x:v>
      </x:c>
      <x:c r="C156" s="59" t="str">
        <x:v>H-WP17</x:v>
      </x:c>
      <x:c r="D156" s="59" t="str">
        <x:v>Hùng</x:v>
      </x:c>
      <x:c r="E156" s="59" t="str">
        <x:v>Network segmentation/egress policy: scanner/AI worker không truy cập PostgreSQL/Redis/core API; URL Worker chỉ thêm outbound public fetch SSRF-safe; AI/Notification worker chỉ thêm egress tới provider được cấu hình; Ingestion Worker tới feed + PG/Redis.</x:v>
      </x:c>
      <x:c r="F156" s="59" t="str">
        <x:v>ARCH-V3.3-NET</x:v>
      </x:c>
    </x:row>
    <x:row r="157" ht="34" customHeight="1">
      <x:c r="A157" s="59" t="str">
        <x:v>M13-F035</x:v>
      </x:c>
      <x:c r="B157" s="59" t="str">
        <x:v>M13</x:v>
      </x:c>
      <x:c r="C157" s="59" t="str">
        <x:v>H-WP12</x:v>
      </x:c>
      <x:c r="D157" s="59" t="str">
        <x:v>Hùng</x:v>
      </x:c>
      <x:c r="E157" s="59" t="str">
        <x:v>Quản lý secret/key tập trung cho JWT signing keys, OAuth/OIDC client credentials, AI provider credentials và notification provider credentials; rotate được và không lưu raw secret trong business tables.</x:v>
      </x:c>
      <x:c r="F157" s="59" t="str">
        <x:v>ARCH-V3.3-SECRETS</x:v>
      </x:c>
    </x:row>
    <x:row r="158" ht="34" customHeight="1">
      <x:c r="A158" s="59" t="str">
        <x:v>M14-F001</x:v>
      </x:c>
      <x:c r="B158" s="59" t="str">
        <x:v>M14</x:v>
      </x:c>
      <x:c r="C158" s="59" t="str">
        <x:v>I-WP15</x:v>
      </x:c>
      <x:c r="D158" s="59" t="str">
        <x:v>Kiên</x:v>
      </x:c>
      <x:c r="E158" s="59" t="str">
        <x:v>Audit thao tác nhạy cảm: login/logout, refresh-token reuse/session revoke, password reset/change, admin duyệt báo cáo và admin sửa rule/policy.</x:v>
      </x:c>
      <x:c r="F158" s="59" t="str">
        <x:v>H05-01 + V3.3</x:v>
      </x:c>
    </x:row>
    <x:row r="159" ht="34" customHeight="1">
      <x:c r="A159" s="59" t="str">
        <x:v>M14-F002</x:v>
      </x:c>
      <x:c r="B159" s="59" t="str">
        <x:v>M14</x:v>
      </x:c>
      <x:c r="C159" s="59" t="str">
        <x:v>I-WP15</x:v>
      </x:c>
      <x:c r="D159" s="59" t="str">
        <x:v>Kiên</x:v>
      </x:c>
      <x:c r="E159" s="59" t="str">
        <x:v>Persist `audit_records`/`admin_actions` theo append-only semantics phù hợp; không để module khác tự tạo schema audit riêng.</x:v>
      </x:c>
      <x:c r="F159" s="59" t="str">
        <x:v>H05-02</x:v>
      </x:c>
    </x:row>
    <x:row r="160" ht="34" customHeight="1">
      <x:c r="A160" s="59" t="str">
        <x:v>M14-F003</x:v>
      </x:c>
      <x:c r="B160" s="59" t="str">
        <x:v>M14</x:v>
      </x:c>
      <x:c r="C160" s="59" t="str">
        <x:v>I-WP15</x:v>
      </x:c>
      <x:c r="D160" s="59" t="str">
        <x:v>Kiên</x:v>
      </x:c>
      <x:c r="E160" s="59" t="str">
        <x:v>Lưu `X-Request-Id` (correlation ID) trong mỗi bản ghi</x:v>
      </x:c>
      <x:c r="F160" s="59" t="str">
        <x:v>H05-03</x:v>
      </x:c>
    </x:row>
    <x:row r="161" ht="34" customHeight="1">
      <x:c r="A161" s="59" t="str">
        <x:v>M14-F008</x:v>
      </x:c>
      <x:c r="B161" s="59" t="str">
        <x:v>M14</x:v>
      </x:c>
      <x:c r="C161" s="59" t="str">
        <x:v>I-WP16</x:v>
      </x:c>
      <x:c r="D161" s="59" t="str">
        <x:v>Kiên</x:v>
      </x:c>
      <x:c r="E161" s="59" t="str">
        <x:v>Chuẩn hóa correlation metadata xuyên pipeline: `correlationId`, `eventId`, `jobId`, `taskId`, `scanId`, `processorVersion`, `eventVersion`; cho phép truy vết từ request tới worker/AI/DLQ.</x:v>
      </x:c>
      <x:c r="F161" s="59" t="str">
        <x:v>ARCH-V3.2-M14-01</x:v>
      </x:c>
    </x:row>
    <x:row r="162" ht="34" customHeight="1">
      <x:c r="A162" s="59" t="str">
        <x:v>M14-F011</x:v>
      </x:c>
      <x:c r="B162" s="59" t="str">
        <x:v>M14</x:v>
      </x:c>
      <x:c r="C162" s="59" t="str">
        <x:v>I-WP15</x:v>
      </x:c>
      <x:c r="D162" s="59" t="str">
        <x:v>Kiên</x:v>
      </x:c>
      <x:c r="E162" s="59" t="str">
        <x:v>Security audit cho auth-session lifecycle/reuse detection phải trace được theo user/session/correlation nhưng tuyệt đối không ghi raw access token, refresh token, OTP hoặc provider assertion.</x:v>
      </x:c>
      <x:c r="F162" s="59" t="str">
        <x:v>ARCH-V3.3-AUDIT</x:v>
      </x:c>
    </x:row>
  </x:sheetData>
  <x:pageMargins left="0.7" right="0.7" top="0.75" bottom="0.75" header="0.3" footer="0.3"/>
  <x:tableParts count="1">
    <x:tablePart xmlns:r="http://schemas.openxmlformats.org/officeDocument/2006/relationships" r:id="R189ca91b360545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72" hidden="0" customWidth="1"/>
    <x:col min="5" max="5" width="30" hidden="0" customWidth="1"/>
    <x:col min="6" max="6" width="18" hidden="0" customWidth="1"/>
  </x:cols>
  <x:sheetData>
    <x:row r="1" ht="28" customHeight="1">
      <x:c r="A1" s="68" t="str">
        <x:v>ID</x:v>
      </x:c>
      <x:c r="B1" s="68" t="str">
        <x:v>Future Work Package</x:v>
      </x:c>
      <x:c r="C1" s="68" t="str">
        <x:v>Owner nghiên cứu</x:v>
      </x:c>
      <x:c r="D1" s="68" t="str">
        <x:v>Feature</x:v>
      </x:c>
      <x:c r="E1" s="68" t="str">
        <x:v>Source</x:v>
      </x:c>
      <x:c r="F1" s="68" t="str">
        <x:v>Legacy owner</x:v>
      </x:c>
    </x:row>
    <x:row r="2" ht="34" customHeight="1">
      <x:c r="A2" s="59" t="str">
        <x:v>FUTURE-F001</x:v>
      </x:c>
      <x:c r="B2" s="59" t="str">
        <x:v>K-FWP01</x:v>
      </x:c>
      <x:c r="C2" s="59" t="str">
        <x:v>Khải</x:v>
      </x:c>
      <x:c r="D2" s="59" t="str">
        <x:v>Extension Chrome/Edge cảnh báo khi truy cập tên miền trong danh sách đen</x:v>
      </x:c>
      <x:c r="E2" s="59" t="str">
        <x:v>K10-01</x:v>
      </x:c>
      <x:c r="F2" s="59" t="str">
        <x:v>Khải</x:v>
      </x:c>
    </x:row>
    <x:row r="3" ht="34" customHeight="1">
      <x:c r="A3" s="59" t="str">
        <x:v>FUTURE-F002</x:v>
      </x:c>
      <x:c r="B3" s="59" t="str">
        <x:v>K-FWP01</x:v>
      </x:c>
      <x:c r="C3" s="59" t="str">
        <x:v>Khải</x:v>
      </x:c>
      <x:c r="D3" s="59" t="str">
        <x:v>Chèn nhãn an toàn cạnh link trong kết quả tìm kiếm và mạng xã hội</x:v>
      </x:c>
      <x:c r="E3" s="59" t="str">
        <x:v>K10-02</x:v>
      </x:c>
      <x:c r="F3" s="59" t="str">
        <x:v>Khải</x:v>
      </x:c>
    </x:row>
    <x:row r="4" ht="34" customHeight="1">
      <x:c r="A4" s="59" t="str">
        <x:v>FUTURE-F003</x:v>
      </x:c>
      <x:c r="B4" s="59" t="str">
        <x:v>K-FWP01</x:v>
      </x:c>
      <x:c r="C4" s="59" t="str">
        <x:v>Khải</x:v>
      </x:c>
      <x:c r="D4" s="59" t="str">
        <x:v>Chuột phải vào link để quét ngay</x:v>
      </x:c>
      <x:c r="E4" s="59" t="str">
        <x:v>K10-03</x:v>
      </x:c>
      <x:c r="F4" s="59" t="str">
        <x:v>Khải</x:v>
      </x:c>
    </x:row>
    <x:row r="5" ht="34" customHeight="1">
      <x:c r="A5" s="59" t="str">
        <x:v>FUTURE-F004</x:v>
      </x:c>
      <x:c r="B5" s="59" t="str">
        <x:v>K-FWP01</x:v>
      </x:c>
      <x:c r="C5" s="59" t="str">
        <x:v>Khải</x:v>
      </x:c>
      <x:c r="D5" s="59" t="str">
        <x:v>Chặn trang nguy hiểm bằng màn hình cảnh báo có nút bỏ qua</x:v>
      </x:c>
      <x:c r="E5" s="59" t="str">
        <x:v>K10-04</x:v>
      </x:c>
      <x:c r="F5" s="59" t="str">
        <x:v>Khải</x:v>
      </x:c>
    </x:row>
    <x:row r="6" ht="34" customHeight="1">
      <x:c r="A6" s="59" t="str">
        <x:v>FUTURE-F005</x:v>
      </x:c>
      <x:c r="B6" s="59" t="str">
        <x:v>K-FWP01</x:v>
      </x:c>
      <x:c r="C6" s="59" t="str">
        <x:v>Khải</x:v>
      </x:c>
      <x:c r="D6" s="59" t="str">
        <x:v>Đồng bộ lịch sử quét với tài khoản</x:v>
      </x:c>
      <x:c r="E6" s="59" t="str">
        <x:v>K10-05</x:v>
      </x:c>
      <x:c r="F6" s="59" t="str">
        <x:v>Khải</x:v>
      </x:c>
    </x:row>
    <x:row r="7" ht="34" customHeight="1">
      <x:c r="A7" s="59" t="str">
        <x:v>FUTURE-F006</x:v>
      </x:c>
      <x:c r="B7" s="59" t="str">
        <x:v>K-FWP01</x:v>
      </x:c>
      <x:c r="C7" s="59" t="str">
        <x:v>Khải</x:v>
      </x:c>
      <x:c r="D7" s="59" t="str">
        <x:v>Chế độ ngoại tuyến dùng danh sách đen tải sẵn</x:v>
      </x:c>
      <x:c r="E7" s="59" t="str">
        <x:v>K10-06</x:v>
      </x:c>
      <x:c r="F7" s="59" t="str">
        <x:v>Khải</x:v>
      </x:c>
    </x:row>
    <x:row r="8" ht="34" customHeight="1">
      <x:c r="A8" s="59" t="str">
        <x:v>FUTURE-F007</x:v>
      </x:c>
      <x:c r="B8" s="59" t="str">
        <x:v>I-FWP01</x:v>
      </x:c>
      <x:c r="C8" s="59" t="str">
        <x:v>Kiên</x:v>
      </x:c>
      <x:c r="D8" s="59" t="str">
        <x:v>Bài viết hướng dẫn nhận biết từng loại lừa đảo</x:v>
      </x:c>
      <x:c r="E8" s="59" t="str">
        <x:v>R09-01</x:v>
      </x:c>
      <x:c r="F8" s="59" t="str">
        <x:v>Kiên</x:v>
      </x:c>
    </x:row>
    <x:row r="9" ht="34" customHeight="1">
      <x:c r="A9" s="59" t="str">
        <x:v>FUTURE-F008</x:v>
      </x:c>
      <x:c r="B9" s="59" t="str">
        <x:v>I-FWP01</x:v>
      </x:c>
      <x:c r="C9" s="59" t="str">
        <x:v>Kiên</x:v>
      </x:c>
      <x:c r="D9" s="59" t="str">
        <x:v>Danh mục theo chủ đề, có tìm kiếm</x:v>
      </x:c>
      <x:c r="E9" s="59" t="str">
        <x:v>R09-02</x:v>
      </x:c>
      <x:c r="F9" s="59" t="str">
        <x:v>Kiên</x:v>
      </x:c>
    </x:row>
    <x:row r="10" ht="34" customHeight="1">
      <x:c r="A10" s="59" t="str">
        <x:v>FUTURE-F009</x:v>
      </x:c>
      <x:c r="B10" s="59" t="str">
        <x:v>I-FWP01</x:v>
      </x:c>
      <x:c r="C10" s="59" t="str">
        <x:v>Kiên</x:v>
      </x:c>
      <x:c r="D10" s="59" t="str">
        <x:v>Gợi ý bài viết liên quan ngay trong trang kết quả quét</x:v>
      </x:c>
      <x:c r="E10" s="59" t="str">
        <x:v>R09-03</x:v>
      </x:c>
      <x:c r="F10" s="59" t="str">
        <x:v>Kiên</x:v>
      </x:c>
    </x:row>
    <x:row r="11" ht="34" customHeight="1">
      <x:c r="A11" s="59" t="str">
        <x:v>FUTURE-F010</x:v>
      </x:c>
      <x:c r="B11" s="59" t="str">
        <x:v>I-FWP01</x:v>
      </x:c>
      <x:c r="C11" s="59" t="str">
        <x:v>Kiên</x:v>
      </x:c>
      <x:c r="D11" s="59" t="str">
        <x:v>Trang admin soạn và xuất bản bài viết</x:v>
      </x:c>
      <x:c r="E11" s="59" t="str">
        <x:v>R09-04</x:v>
      </x:c>
      <x:c r="F11" s="59" t="str">
        <x:v>Kiên</x:v>
      </x:c>
    </x:row>
    <x:row r="12" ht="34" customHeight="1">
      <x:c r="A12" s="59" t="str">
        <x:v>FUTURE-F011</x:v>
      </x:c>
      <x:c r="B12" s="59" t="str">
        <x:v>I-FWP01</x:v>
      </x:c>
      <x:c r="C12" s="59" t="str">
        <x:v>Kiên</x:v>
      </x:c>
      <x:c r="D12" s="59" t="str">
        <x:v>Cảnh báo xu hướng lừa đảo mới theo tuần</x:v>
      </x:c>
      <x:c r="E12" s="59" t="str">
        <x:v>R09-05</x:v>
      </x:c>
      <x:c r="F12" s="59" t="str">
        <x:v>Kiên</x:v>
      </x:c>
    </x:row>
    <x:row r="13" ht="34" customHeight="1">
      <x:c r="A13" s="59" t="str">
        <x:v>FUTURE-F012</x:v>
      </x:c>
      <x:c r="B13" s="59" t="str">
        <x:v>I-FWP01</x:v>
      </x:c>
      <x:c r="C13" s="59" t="str">
        <x:v>Kiên</x:v>
      </x:c>
      <x:c r="D13" s="59" t="str">
        <x:v>Nội dung dạng thẻ ngắn cho người lớn tuổi, chữ to, ít thuật ngữ</x:v>
      </x:c>
      <x:c r="E13" s="59" t="str">
        <x:v>R09-06</x:v>
      </x:c>
      <x:c r="F13" s="59" t="str">
        <x:v>Kiên</x:v>
      </x:c>
    </x:row>
    <x:row r="14" ht="34" customHeight="1">
      <x:c r="A14" s="59" t="str">
        <x:v>FUTURE-F013</x:v>
      </x:c>
      <x:c r="B14" s="59" t="str">
        <x:v>T-FWP01</x:v>
      </x:c>
      <x:c r="C14" s="59" t="str">
        <x:v>Thắng</x:v>
      </x:c>
      <x:c r="D14" s="59" t="str">
        <x:v>Giao diện hỏi đáp: "Tin nhắn này có phải lừa đảo không?"</x:v>
      </x:c>
      <x:c r="E14" s="59" t="str">
        <x:v>R10-01</x:v>
      </x:c>
      <x:c r="F14" s="59" t="str">
        <x:v>Kiên</x:v>
      </x:c>
    </x:row>
    <x:row r="15" ht="34" customHeight="1">
      <x:c r="A15" s="59" t="str">
        <x:v>FUTURE-F014</x:v>
      </x:c>
      <x:c r="B15" s="59" t="str">
        <x:v>T-FWP01</x:v>
      </x:c>
      <x:c r="C15" s="59" t="str">
        <x:v>Thắng</x:v>
      </x:c>
      <x:c r="D15" s="59" t="str">
        <x:v>Trả lời dựa trên thư viện kiến thức, có trích dẫn nguồn</x:v>
      </x:c>
      <x:c r="E15" s="59" t="str">
        <x:v>R10-02</x:v>
      </x:c>
      <x:c r="F15" s="59" t="str">
        <x:v>Kiên</x:v>
      </x:c>
    </x:row>
    <x:row r="16" ht="34" customHeight="1">
      <x:c r="A16" s="59" t="str">
        <x:v>FUTURE-F015</x:v>
      </x:c>
      <x:c r="B16" s="59" t="str">
        <x:v>T-FWP01</x:v>
      </x:c>
      <x:c r="C16" s="59" t="str">
        <x:v>Thắng</x:v>
      </x:c>
      <x:c r="D16" s="59" t="str">
        <x:v>Gợi ý hành động tiếp theo tuỳ tình huống người dùng mô tả</x:v>
      </x:c>
      <x:c r="E16" s="59" t="str">
        <x:v>R10-03</x:v>
      </x:c>
      <x:c r="F16" s="59" t="str">
        <x:v>Kiên</x:v>
      </x:c>
    </x:row>
    <x:row r="17" ht="34" customHeight="1">
      <x:c r="A17" s="59" t="str">
        <x:v>FUTURE-F016</x:v>
      </x:c>
      <x:c r="B17" s="59" t="str">
        <x:v>T-FWP01</x:v>
      </x:c>
      <x:c r="C17" s="59" t="str">
        <x:v>Thắng</x:v>
      </x:c>
      <x:c r="D17" s="59" t="str">
        <x:v>Bàn giao sang biểu mẫu báo cáo khi xác định là lừa đảo</x:v>
      </x:c>
      <x:c r="E17" s="59" t="str">
        <x:v>R10-04</x:v>
      </x:c>
      <x:c r="F17" s="59" t="str">
        <x:v>Kiên</x:v>
      </x:c>
    </x:row>
    <x:row r="18" ht="34" customHeight="1">
      <x:c r="A18" s="59" t="str">
        <x:v>FUTURE-F017</x:v>
      </x:c>
      <x:c r="B18" s="59" t="str">
        <x:v>T-FWP01</x:v>
      </x:c>
      <x:c r="C18" s="59" t="str">
        <x:v>Thắng</x:v>
      </x:c>
      <x:c r="D18" s="59" t="str">
        <x:v>Giới hạn phạm vi trả lời, từ chối câu hỏi ngoài lĩnh vực</x:v>
      </x:c>
      <x:c r="E18" s="59" t="str">
        <x:v>R10-05</x:v>
      </x:c>
      <x:c r="F18" s="59" t="str">
        <x:v>Kiên</x:v>
      </x:c>
    </x:row>
    <x:row r="19" ht="34" customHeight="1">
      <x:c r="A19" s="59" t="str">
        <x:v>FUTURE-F018</x:v>
      </x:c>
      <x:c r="B19" s="59" t="str">
        <x:v>T-FWP01</x:v>
      </x:c>
      <x:c r="C19" s="59" t="str">
        <x:v>Thắng</x:v>
      </x:c>
      <x:c r="D19" s="59" t="str">
        <x:v>Ghi nhận câu hỏi thường gặp để bổ sung vào thư viện</x:v>
      </x:c>
      <x:c r="E19" s="59" t="str">
        <x:v>R10-06</x:v>
      </x:c>
      <x:c r="F19" s="59" t="str">
        <x:v>Kiên</x:v>
      </x:c>
    </x:row>
    <x:row r="20" ht="34" customHeight="1">
      <x:c r="A20" s="59" t="str">
        <x:v>FUTURE-F019</x:v>
      </x:c>
      <x:c r="B20" s="59" t="str">
        <x:v>I-FWP02</x:v>
      </x:c>
      <x:c r="C20" s="59" t="str">
        <x:v>Kiên</x:v>
      </x:c>
      <x:c r="D20" s="59" t="str">
        <x:v>Bài trắc nghiệm "Bạn có nhận ra tin nhắn lừa đảo không?"</x:v>
      </x:c>
      <x:c r="E20" s="59" t="str">
        <x:v>R11-01</x:v>
      </x:c>
      <x:c r="F20" s="59" t="str">
        <x:v>Kiên</x:v>
      </x:c>
    </x:row>
    <x:row r="21" ht="34" customHeight="1">
      <x:c r="A21" s="59" t="str">
        <x:v>FUTURE-F020</x:v>
      </x:c>
      <x:c r="B21" s="59" t="str">
        <x:v>I-FWP02</x:v>
      </x:c>
      <x:c r="C21" s="59" t="str">
        <x:v>Kiên</x:v>
      </x:c>
      <x:c r="D21" s="59" t="str">
        <x:v>Chấm điểm và giải thích từng câu sai</x:v>
      </x:c>
      <x:c r="E21" s="59" t="str">
        <x:v>R11-02</x:v>
      </x:c>
      <x:c r="F21" s="59" t="str">
        <x:v>Kiên</x:v>
      </x:c>
    </x:row>
    <x:row r="22" ht="34" customHeight="1">
      <x:c r="A22" s="59" t="str">
        <x:v>FUTURE-F021</x:v>
      </x:c>
      <x:c r="B22" s="59" t="str">
        <x:v>K-FWP02</x:v>
      </x:c>
      <x:c r="C22" s="59" t="str">
        <x:v>Khải</x:v>
      </x:c>
      <x:c r="D22" s="59" t="str">
        <x:v>Huy hiệu theo mốc: số lần quét, số báo cáo được duyệt</x:v>
      </x:c>
      <x:c r="E22" s="59" t="str">
        <x:v>R11-03</x:v>
      </x:c>
      <x:c r="F22" s="59" t="str">
        <x:v>Kiên</x:v>
      </x:c>
    </x:row>
    <x:row r="23" ht="34" customHeight="1">
      <x:c r="A23" s="59" t="str">
        <x:v>FUTURE-F022</x:v>
      </x:c>
      <x:c r="B23" s="59" t="str">
        <x:v>K-FWP02</x:v>
      </x:c>
      <x:c r="C23" s="59" t="str">
        <x:v>Khải</x:v>
      </x:c>
      <x:c r="D23" s="59" t="str">
        <x:v>Bảng xếp hạng đóng góp cộng đồng</x:v>
      </x:c>
      <x:c r="E23" s="59" t="str">
        <x:v>R11-04</x:v>
      </x:c>
      <x:c r="F23" s="59" t="str">
        <x:v>Kiên</x:v>
      </x:c>
    </x:row>
    <x:row r="24" ht="34" customHeight="1">
      <x:c r="A24" s="59" t="str">
        <x:v>FUTURE-F023</x:v>
      </x:c>
      <x:c r="B24" s="59" t="str">
        <x:v>K-FWP02</x:v>
      </x:c>
      <x:c r="C24" s="59" t="str">
        <x:v>Khải</x:v>
      </x:c>
      <x:c r="D24" s="59" t="str">
        <x:v>Chuỗi ngày sử dụng liên tục</x:v>
      </x:c>
      <x:c r="E24" s="59" t="str">
        <x:v>R11-05</x:v>
      </x:c>
      <x:c r="F24" s="59" t="str">
        <x:v>Kiên</x:v>
      </x:c>
    </x:row>
    <x:row r="25" ht="34" customHeight="1">
      <x:c r="A25" s="59" t="str">
        <x:v>FUTURE-F024</x:v>
      </x:c>
      <x:c r="B25" s="59" t="str">
        <x:v>T-FWP02</x:v>
      </x:c>
      <x:c r="C25" s="59" t="str">
        <x:v>Thắng</x:v>
      </x:c>
      <x:c r="D25" s="59" t="str">
        <x:v>Chia sẻ kết quả bài kiểm tra lên mạng xã hội</x:v>
      </x:c>
      <x:c r="E25" s="59" t="str">
        <x:v>R11-06</x:v>
      </x:c>
      <x:c r="F25" s="59" t="str">
        <x:v>Kiên</x:v>
      </x:c>
    </x:row>
    <x:row r="26" ht="34" customHeight="1">
      <x:c r="A26" s="59" t="str">
        <x:v>FUTURE-F025</x:v>
      </x:c>
      <x:c r="B26" s="59" t="str">
        <x:v>H-FWP01</x:v>
      </x:c>
      <x:c r="C26" s="59" t="str">
        <x:v>Hùng</x:v>
      </x:c>
      <x:c r="D26" s="59" t="str">
        <x:v>Entitlement profiles định nghĩa quota/featureFlags/historyPolicy/inferenceProfile cho các plan tương lai; M12 chỉ nhận resolved `EntitlementContext`.</x:v>
      </x:c>
      <x:c r="E26" s="59" t="str">
        <x:v>MODSPEC-V1.3-FUTURE</x:v>
      </x:c>
      <x:c r="F26" s="59" t="str">
        <x:v>—</x:v>
      </x:c>
    </x:row>
    <x:row r="27" ht="34" customHeight="1">
      <x:c r="A27" s="59" t="str">
        <x:v>FUTURE-F026</x:v>
      </x:c>
      <x:c r="B27" s="59" t="str">
        <x:v>H-FWP01</x:v>
      </x:c>
      <x:c r="C27" s="59" t="str">
        <x:v>Hùng</x:v>
      </x:c>
      <x:c r="D27" s="59" t="str">
        <x:v>Plans catalog cho Free/Premium/API tiers hoặc gói tương lai; không hard-code plan trong scan/worker contract.</x:v>
      </x:c>
      <x:c r="E27" s="59" t="str">
        <x:v>SCHEMA-V1.0-FUTURE</x:v>
      </x:c>
      <x:c r="F27" s="59" t="str">
        <x:v>—</x:v>
      </x:c>
    </x:row>
    <x:row r="28" ht="34" customHeight="1">
      <x:c r="A28" s="59" t="str">
        <x:v>FUTURE-F027</x:v>
      </x:c>
      <x:c r="B28" s="59" t="str">
        <x:v>H-FWP01</x:v>
      </x:c>
      <x:c r="C28" s="59" t="str">
        <x:v>Hùng</x:v>
      </x:c>
      <x:c r="D28" s="59" t="str">
        <x:v>Account-plan assignment có hiệu lực theo thời gian và audit thay đổi entitlement.</x:v>
      </x:c>
      <x:c r="E28" s="59" t="str">
        <x:v>SCHEMA-V1.0-FUTURE</x:v>
      </x:c>
      <x:c r="F28" s="59" t="str">
        <x:v>—</x:v>
      </x:c>
    </x:row>
    <x:row r="29" ht="34" customHeight="1">
      <x:c r="A29" s="59" t="str">
        <x:v>FUTURE-F028</x:v>
      </x:c>
      <x:c r="B29" s="59" t="str">
        <x:v>H-FWP01</x:v>
      </x:c>
      <x:c r="C29" s="59" t="str">
        <x:v>Hùng</x:v>
      </x:c>
      <x:c r="D29" s="59" t="str">
        <x:v>Subscription lifecycle độc lập với Identity/Scan; trạng thái subscription không đi trực tiếp vào worker message.</x:v>
      </x:c>
      <x:c r="E29" s="59" t="str">
        <x:v>SCHEMA-V1.0-FUTURE</x:v>
      </x:c>
      <x:c r="F29" s="59" t="str">
        <x:v>—</x:v>
      </x:c>
    </x:row>
    <x:row r="30" ht="34" customHeight="1">
      <x:c r="A30" s="59" t="str">
        <x:v>FUTURE-F029</x:v>
      </x:c>
      <x:c r="B30" s="59" t="str">
        <x:v>H-FWP02</x:v>
      </x:c>
      <x:c r="C30" s="59" t="str">
        <x:v>Hùng</x:v>
      </x:c>
      <x:c r="D30" s="59" t="str">
        <x:v>Usage metering theo account/API identity và loại execution; ghi `usage_records` để phục vụ quota/billing sau này.</x:v>
      </x:c>
      <x:c r="E30" s="59" t="str">
        <x:v>SCHEMA-V1.0-FUTURE</x:v>
      </x:c>
      <x:c r="F30" s="59" t="str">
        <x:v>—</x:v>
      </x:c>
    </x:row>
    <x:row r="31" ht="34" customHeight="1">
      <x:c r="A31" s="59" t="str">
        <x:v>FUTURE-F030</x:v>
      </x:c>
      <x:c r="B31" s="59" t="str">
        <x:v>H-FWP02</x:v>
      </x:c>
      <x:c r="C31" s="59" t="str">
        <x:v>Hùng</x:v>
      </x:c>
      <x:c r="D31" s="59" t="str">
        <x:v>Credit account cho user/API client; số dư được suy ra từ ledger, không lưu `credit_balance` trực tiếp trong `users`.</x:v>
      </x:c>
      <x:c r="E31" s="59" t="str">
        <x:v>SCHEMA-V1.0-FUTURE</x:v>
      </x:c>
      <x:c r="F31" s="59" t="str">
        <x:v>—</x:v>
      </x:c>
    </x:row>
    <x:row r="32" ht="34" customHeight="1">
      <x:c r="A32" s="59" t="str">
        <x:v>FUTURE-F031</x:v>
      </x:c>
      <x:c r="B32" s="59" t="str">
        <x:v>H-FWP02</x:v>
      </x:c>
      <x:c r="C32" s="59" t="str">
        <x:v>Hùng</x:v>
      </x:c>
      <x:c r="D32" s="59" t="str">
        <x:v>Credit ledger entries trace đầy đủ debit/credit/adjustment và correlation tới usage/billing event.</x:v>
      </x:c>
      <x:c r="E32" s="59" t="str">
        <x:v>SCHEMA-V1.0-FUTURE</x:v>
      </x:c>
      <x:c r="F32" s="59" t="str">
        <x:v>—</x:v>
      </x:c>
    </x:row>
    <x:row r="33" ht="34" customHeight="1">
      <x:c r="A33" s="59" t="str">
        <x:v>FUTURE-F032</x:v>
      </x:c>
      <x:c r="B33" s="59" t="str">
        <x:v>H-FWP02</x:v>
      </x:c>
      <x:c r="C33" s="59" t="str">
        <x:v>Hùng</x:v>
      </x:c>
      <x:c r="D33" s="59" t="str">
        <x:v>Credit reservation/settlement/release cho tác vụ tốn tài nguyên trước khi execution, không làm thay đổi `RiskResult` contract.</x:v>
      </x:c>
      <x:c r="E33" s="59" t="str">
        <x:v>SCHEMA-V1.0-FUTURE</x:v>
      </x:c>
      <x:c r="F33" s="59" t="str">
        <x:v>—</x:v>
      </x:c>
    </x:row>
    <x:row r="34" ht="34" customHeight="1">
      <x:c r="A34" s="59" t="str">
        <x:v>FUTURE-F033</x:v>
      </x:c>
      <x:c r="B34" s="59" t="str">
        <x:v>H-FWP02</x:v>
      </x:c>
      <x:c r="C34" s="59" t="str">
        <x:v>Hùng</x:v>
      </x:c>
      <x:c r="D34" s="59" t="str">
        <x:v>User-facing API credentials/API client identity với key hash/revoke/rotate; downstream vẫn nhận `AccessContext`, không truyền raw API key tới worker.</x:v>
      </x:c>
      <x:c r="E34" s="59" t="str">
        <x:v>SCHEMA-V1.0-FUTURE</x:v>
      </x:c>
      <x:c r="F34" s="59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71009d7a3adc44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6" t="str">
        <x:v>Contract hiện hành — V2</x:v>
      </x:c>
      <x:c r="B1" s="6"/>
      <x:c r="C1" s="6"/>
      <x:c r="D1" s="6"/>
      <x:c r="E1" s="6"/>
      <x:c r="F1" s="6"/>
    </x:row>
    <x:row r="3" ht="28" customHeight="1">
      <x:c r="A3" s="68" t="str">
        <x:v>Nhóm</x:v>
      </x:c>
      <x:c r="B3" s="68" t="str">
        <x:v>Contract</x:v>
      </x:c>
    </x:row>
    <x:row r="4">
      <x:c r="A4" s="59" t="str">
        <x:v>Release scope</x:v>
      </x:c>
      <x:c r="B4" s="59" t="str">
        <x:v>Guest scan URL/Text/Phone/Bank/QR; authenticated Free có persistent history/profile/session/quota/follow-up; không payment/subscription/credit/API key trong MVP.</x:v>
      </x:c>
    </x:row>
    <x:row r="5">
      <x:c r="A5" s="59" t="str">
        <x:v>Public scan API</x:v>
      </x:c>
      <x:c r="B5" s="59" t="str">
        <x:v>POST /v1/scans/url · /text · /entity · /qr; GET /v1/scans/{scanId}; GET /v1/scans/history; POST /v1/reports.</x:v>
      </x:c>
    </x:row>
    <x:row r="6">
      <x:c r="A6" s="59" t="str">
        <x:v>Identity</x:v>
      </x:c>
      <x:c r="B6" s="59" t="str">
        <x:v>Local email/password + Google OIDC → server-side auth_session → JWT access token (~15m) + opaque rotating refresh token (~30d).</x:v>
      </x:c>
    </x:row>
    <x:row r="7">
      <x:c r="A7" s="59" t="str">
        <x:v>Notification</x:v>
      </x:c>
      <x:c r="B7" s="59" t="str">
        <x:v>notification.requested → q.notification → Delivery Worker → Channel Resolver + Provider Adapter → IN_APP/EMAIL/PUSH/future channels.</x:v>
      </x:c>
    </x:row>
    <x:row r="8">
      <x:c r="A8" s="59" t="str">
        <x:v>Worker isolation</x:v>
      </x:c>
      <x:c r="B8" s="59" t="str">
        <x:v>Scanner/AI worker chỉ giao tiếp qua RabbitMQ; không đọc PostgreSQL/Redis và không gọi Spring Boot API.</x:v>
      </x:c>
    </x:row>
    <x:row r="9">
      <x:c r="A9" s="59" t="str">
        <x:v>Risk Fusion</x:v>
      </x:c>
      <x:c r="B9" s="59" t="str">
        <x:v>URL 35/15/35/15; TEXT 10/45/25/20; ENTITY reputation/community 100%; QR dùng child scores + QR-specific rules.</x:v>
      </x:c>
    </x:row>
    <x:row r="10">
      <x:c r="A10" s="59" t="str">
        <x:v>Threshold</x:v>
      </x:c>
      <x:c r="B10" s="59" t="str">
        <x:v>0–34 SAFE · 35–69 CAUTION · 70–100 DANGER; missing signal group được omit + renormalize.</x:v>
      </x:c>
    </x:row>
    <x:row r="11">
      <x:c r="A11" t="str">
        <x:v>Operational defaults</x:v>
      </x:c>
      <x:c r="B11" t="str">
        <x:v>parent 30s · maxDepth 2 · ThreatQuery 500ms · AI task 20s · model timeout 10s · AI prefetch 4 · worker retry 2 · redirect 5 · body 5MB · text 20k · result cache 10m.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6" t="str">
        <x:v>Thay đổi V2 — execution backlog refinement</x:v>
      </x:c>
      <x:c r="B1" s="6"/>
      <x:c r="C1" s="6"/>
      <x:c r="D1" s="6"/>
      <x:c r="E1" s="6"/>
      <x:c r="F1" s="6"/>
    </x:row>
    <x:row r="3" ht="28" customHeight="1">
      <x:c r="A3" s="68" t="str">
        <x:v>Hạng mục</x:v>
      </x:c>
      <x:c r="B3" s="68" t="str">
        <x:v>Cập nhật</x:v>
      </x:c>
    </x:row>
    <x:row r="4">
      <x:c r="A4" s="59" t="str">
        <x:v>V2 rebase</x:v>
      </x:c>
      <x:c r="B4" s="59" t="str">
        <x:v>48 nhóm theo người → 14 vertical modules M01–M14.</x:v>
      </x:c>
    </x:row>
    <x:row r="5">
      <x:c r="A5" s="59" t="str">
        <x:v>Work Package layer</x:v>
      </x:c>
      <x:c r="B5" s="59" t="str">
        <x:v>Bổ sung Module → WP → Feature/Acceptance Criteria → implementation subtask để tránh xé task quá nhỏ.</x:v>
      </x:c>
    </x:row>
    <x:row r="6">
      <x:c r="A6" s="59" t="str">
        <x:v>Ownership</x:v>
      </x:c>
      <x:c r="B6" s="59" t="str">
        <x:v>Mọi 422 feature đều có Owner hiện tại + Work Package; Legacy owner chỉ để trace.</x:v>
      </x:c>
    </x:row>
    <x:row r="7">
      <x:c r="A7" s="59" t="str">
        <x:v>Future scope</x:v>
      </x:c>
      <x:c r="B7" s="59" t="str">
        <x:v>33 Future feature đã assign thành 8 Future WP, mỗi người 2 WP; vẫn ngoài cam kết MVP.</x:v>
      </x:c>
    </x:row>
    <x:row r="8">
      <x:c r="A8" s="59" t="str">
        <x:v>Balance</x:v>
      </x:c>
      <x:c r="B8" s="59" t="str">
        <x:v>M01–M14 workload 210–215; kể cả Future 217–224.</x:v>
      </x:c>
    </x:row>
    <x:row r="9">
      <x:c r="A9" s="59" t="str">
        <x:v>Independent development</x:v>
      </x:c>
      <x:c r="B9" s="59" t="str">
        <x:v>Contract-first + mock-first + contract test; cross-owner dependency không đi qua implementation nội bộ.</x:v>
      </x:c>
    </x:row>
    <x:row r="10">
      <x:c r="A10" t="str">
        <x:v>Version</x:v>
      </x:c>
      <x:c r="B10" t="str">
        <x:v>Giữ nguyên Backlog revision V2; Architecture V3.3; Modules Spec V1.3; Schema V1.0 Draft.</x:v>
      </x:c>
    </x:row>
  </x:sheetData>
  <x:mergeCells>
    <x:mergeCell ref="A1:F1"/>
  </x:mergeCells>
  <x:pageMargins left="0.7" right="0.7" top="0.75" bottom="0.75" header="0.3" footer="0.3"/>
</x:worksheet>
</file>